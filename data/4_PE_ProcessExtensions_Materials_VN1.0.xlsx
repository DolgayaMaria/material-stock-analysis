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X:\indecol\USERS\Lola\Article_2 - ODYM-RECC Greater Oslo\ODYMRECC_GreaterOslo\RECC-ODYM\CURRENT_VN1_0\"/>
    </mc:Choice>
  </mc:AlternateContent>
  <xr:revisionPtr revIDLastSave="0" documentId="13_ncr:1_{D4250916-5C4A-4519-AFAD-FDB1D955D9D9}" xr6:coauthVersionLast="47" xr6:coauthVersionMax="47" xr10:uidLastSave="{00000000-0000-0000-0000-000000000000}"/>
  <bookViews>
    <workbookView xWindow="-120" yWindow="-120" windowWidth="29040" windowHeight="17640" activeTab="2" xr2:uid="{00000000-000D-0000-FFFF-FFFF00000000}"/>
  </bookViews>
  <sheets>
    <sheet name="Cover" sheetId="1" r:id="rId1"/>
    <sheet name="values" sheetId="5" r:id="rId2"/>
    <sheet name="log" sheetId="3" r:id="rId3"/>
    <sheet name="ref" sheetId="4" r:id="rId4"/>
  </sheets>
  <definedNames>
    <definedName name="_xlnm._FilterDatabase" localSheetId="1" hidden="1">values!$A$1:$D$46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3" l="1"/>
  <c r="K27" i="3"/>
  <c r="K26" i="3"/>
  <c r="K25" i="3"/>
  <c r="Q7" i="4"/>
</calcChain>
</file>

<file path=xl/sharedStrings.xml><?xml version="1.0" encoding="utf-8"?>
<sst xmlns="http://schemas.openxmlformats.org/spreadsheetml/2006/main" count="701" uniqueCount="183">
  <si>
    <t>ODYM-RECC Parameter File</t>
  </si>
  <si>
    <t># Fields highlighted in grey are mandatory. Fields highlighted in blue are linked to other tables and databases. Order of fields and field naming is fixed, do not change!</t>
  </si>
  <si>
    <t>Format_Version</t>
  </si>
  <si>
    <t>V0.2</t>
  </si>
  <si>
    <t># Specify the version number of the formatting used for this file</t>
  </si>
  <si>
    <t>Dataset_Name</t>
  </si>
  <si>
    <t># Name of dataset, short and descriptive</t>
  </si>
  <si>
    <t>Dataset_Description</t>
  </si>
  <si>
    <t># Description of dataset</t>
  </si>
  <si>
    <t>Dataset_Unit</t>
  </si>
  <si>
    <t># Unit of dataset, cf. UNITS sheet in classification master file, GLOBAL, LIST, or TABLE</t>
  </si>
  <si>
    <t>Dataset_Uncertainty</t>
  </si>
  <si>
    <t>none</t>
  </si>
  <si>
    <t># Uncertainty in form of stats_array string (http://stats-arrays.readthedocs.io/en/latest/), GLOBAL, LIST, or TABLE</t>
  </si>
  <si>
    <t>Dataset_Comment</t>
  </si>
  <si>
    <t># Comment, GLOBAL, LIST, or TABLE</t>
  </si>
  <si>
    <t>Dataset_System_Location</t>
  </si>
  <si>
    <t>(to be filled manually)</t>
  </si>
  <si>
    <t># Points to processes and flows in a general system definition, optional</t>
  </si>
  <si>
    <t>Dataset_ID</t>
  </si>
  <si>
    <t># ID of dataset, optional, establish link to IEDI</t>
  </si>
  <si>
    <t>Dataset_UUID</t>
  </si>
  <si>
    <t># UUID of dataset, can be generated manually, for archiving and reference purposes</t>
  </si>
  <si>
    <t>Date created</t>
  </si>
  <si>
    <t># Date when dataset was first obtained/created/released</t>
  </si>
  <si>
    <t>Last modified</t>
  </si>
  <si>
    <t># Date of last modification</t>
  </si>
  <si>
    <t>Last modified by</t>
  </si>
  <si>
    <t># Name of researcher responsible for last modification</t>
  </si>
  <si>
    <t>Dataset_Version</t>
  </si>
  <si>
    <t># Version number of dataset</t>
  </si>
  <si>
    <t>Dataset_Classification_version_number</t>
  </si>
  <si>
    <t># Version number of classifications used for this dataset</t>
  </si>
  <si>
    <t>[Empty on purpose]</t>
  </si>
  <si>
    <t>Dataset_RecordType</t>
  </si>
  <si>
    <t>TABLE</t>
  </si>
  <si>
    <t>No_Rows</t>
  </si>
  <si>
    <t>No_Cols</t>
  </si>
  <si>
    <t># Two types are supported: list and table</t>
  </si>
  <si>
    <t>Row Aspects classification</t>
  </si>
  <si>
    <t>Row Aspects_Meaning</t>
  </si>
  <si>
    <t>Col Aspects classification</t>
  </si>
  <si>
    <t>Col Aspects_Meaning</t>
  </si>
  <si>
    <t>DATA</t>
  </si>
  <si>
    <t>DATA_Info</t>
  </si>
  <si>
    <t>values</t>
  </si>
  <si>
    <t># Aspects: Specify aspects in order of appearance in data table.</t>
  </si>
  <si>
    <t>unit</t>
  </si>
  <si>
    <t># Aspects_Meaning: Describe meaning of each aspect</t>
  </si>
  <si>
    <t>Time</t>
  </si>
  <si>
    <t>stats_array_string</t>
  </si>
  <si>
    <t>String describing uncertainty distribution (http://stats-arrays.readthedocs.io/en/latest/)</t>
  </si>
  <si>
    <t># DATA: Specify the different quantification layers given: Value, Error, etc, or different scenarios. Must be identical to column names in sheet "Values_Master"</t>
  </si>
  <si>
    <t>comment</t>
  </si>
  <si>
    <t>Comment on data proxy choice</t>
  </si>
  <si>
    <t># DATA_Info: Describe each data layer</t>
  </si>
  <si>
    <t/>
  </si>
  <si>
    <t>World</t>
  </si>
  <si>
    <t>Material_Production_i2</t>
  </si>
  <si>
    <t>RECC_Classifications_Master_V2.0</t>
  </si>
  <si>
    <t>SSP_Regions_1</t>
  </si>
  <si>
    <t>SSP regions: World</t>
  </si>
  <si>
    <t>old UUID</t>
  </si>
  <si>
    <t>Who</t>
  </si>
  <si>
    <t>Dataset</t>
  </si>
  <si>
    <t>literature_id</t>
  </si>
  <si>
    <t>literature_key</t>
  </si>
  <si>
    <t>authors</t>
  </si>
  <si>
    <t>title</t>
  </si>
  <si>
    <t>year</t>
  </si>
  <si>
    <t>journal_outlet_institution</t>
  </si>
  <si>
    <t>city</t>
  </si>
  <si>
    <t>DOI</t>
  </si>
  <si>
    <t>copyright</t>
  </si>
  <si>
    <t>other</t>
  </si>
  <si>
    <t>notes</t>
  </si>
  <si>
    <t>production of construction grade steel, primary</t>
  </si>
  <si>
    <t>production of automotive steel, primary</t>
  </si>
  <si>
    <t>production of wrought Al, primary</t>
  </si>
  <si>
    <t>production of copper electric grade, primary</t>
  </si>
  <si>
    <t>production of plastics, primary</t>
  </si>
  <si>
    <t>production of wood and wood products, primary</t>
  </si>
  <si>
    <t>production of zinc, primary</t>
  </si>
  <si>
    <t>production of cast Al, primary</t>
  </si>
  <si>
    <t>production of cast iron, primary</t>
  </si>
  <si>
    <t>production of stainless steel, primary</t>
  </si>
  <si>
    <t>production of cement</t>
  </si>
  <si>
    <t>iedc_dataset_name (dataset ID of industrial ecology data commons (IEDC), replaces detailed description here, available under http://www.database.industrialecology.uni-freiburg.de/)</t>
  </si>
  <si>
    <t>iedc_dataset_version_number (dataset version number of industrial ecology data commons (IEDC))</t>
  </si>
  <si>
    <t>V1.0</t>
  </si>
  <si>
    <t>Env_midpoints</t>
  </si>
  <si>
    <t>environmental midpoint</t>
  </si>
  <si>
    <t>GWP100</t>
  </si>
  <si>
    <t>production of concrete, aggregates</t>
  </si>
  <si>
    <t>4_PE_ProcessExtensions_Materials</t>
  </si>
  <si>
    <t>4_PE_ProcessExtensions Materials</t>
  </si>
  <si>
    <t>614acb7a-5f58-4ec5-a59c-3bd90f895ae3</t>
  </si>
  <si>
    <t>production of glass, primary</t>
  </si>
  <si>
    <t>production of insulation material</t>
  </si>
  <si>
    <t>production of paper and cardboard, primary</t>
  </si>
  <si>
    <t>ODP_Short_name</t>
  </si>
  <si>
    <t>Date of ODP sign-off</t>
  </si>
  <si>
    <t>Version number before ODP</t>
  </si>
  <si>
    <t>Version number after ODP</t>
  </si>
  <si>
    <t>new UUID and reference color</t>
  </si>
  <si>
    <t>What - detailed description</t>
  </si>
  <si>
    <t>ODP type</t>
  </si>
  <si>
    <t>List items of ref sheet used</t>
  </si>
  <si>
    <t>Create dataset</t>
  </si>
  <si>
    <t>fc</t>
  </si>
  <si>
    <t>created parameter file</t>
  </si>
  <si>
    <t>values paresd from RECC_Materials_workbook_v3 with parse_RECC_materials_Workbook.py</t>
  </si>
  <si>
    <t>kg CO2-eq/kg</t>
  </si>
  <si>
    <t>m3/kg</t>
  </si>
  <si>
    <t>list</t>
  </si>
  <si>
    <t>RECC_Materials_Workbook_v3.xlsx</t>
  </si>
  <si>
    <t>parse_RECC_materials_Workbook.py</t>
  </si>
  <si>
    <t>material production process</t>
  </si>
  <si>
    <t>kg/kg</t>
  </si>
  <si>
    <t>Land occupation (LOP)</t>
  </si>
  <si>
    <t>m2a-eq/kg</t>
  </si>
  <si>
    <t>Water consumption potential (WCP)</t>
  </si>
  <si>
    <t>Raw material input (RMI), all materials</t>
  </si>
  <si>
    <t>Raw material input (RMI), fossil fuels</t>
  </si>
  <si>
    <t>Raw material input (RMI), metal ores</t>
  </si>
  <si>
    <t>Raw material input (RMI), non-metallic minerals</t>
  </si>
  <si>
    <t>Raw material input (RMI), biomass</t>
  </si>
  <si>
    <t>File contains the supply chain extensions of materials (scope 2+3)</t>
  </si>
  <si>
    <t>Location: \Raw_Data_Archive\Energy Supply\Contribution_Fabio_Feb_20_2023\Data_processing\</t>
  </si>
  <si>
    <r>
      <rPr>
        <b/>
        <sz val="10"/>
        <rFont val="Arial"/>
        <family val="2"/>
      </rPr>
      <t xml:space="preserve">Important note: </t>
    </r>
    <r>
      <rPr>
        <sz val="10"/>
        <rFont val="Arial"/>
        <family val="2"/>
      </rPr>
      <t>While the GWP, land, and water footprint results contain the full supply chain (mostly from ecoinvent data),</t>
    </r>
  </si>
  <si>
    <t>the material footprint estimates only contain values up to a certain, material-specific power of the A-matrix, documented in ref. [1].</t>
  </si>
  <si>
    <t>This is to make sure that only the raw material input that is extracted to be processed into intermediate products that later are physically embedded into the engineering material.</t>
  </si>
  <si>
    <t>For example, bauxite, which is processed into alumina, which is reduced to aluminium.</t>
  </si>
  <si>
    <t>process extension of materials: File contains the supply chain extensions of materials (scope 2+3), only RMI for physical embedded raw materials.</t>
  </si>
  <si>
    <t>URL / location</t>
  </si>
  <si>
    <t>RECC_Materials_Workbook_v4.xlsx</t>
  </si>
  <si>
    <t>Update for land use indicator, cast iron, and steel, and paper</t>
  </si>
  <si>
    <t>sp</t>
  </si>
  <si>
    <t>V1.1</t>
  </si>
  <si>
    <t>[2,3]</t>
  </si>
  <si>
    <t>[1,2]</t>
  </si>
  <si>
    <t>30626015-7275-4931-abe5-b1b0d3b84317</t>
  </si>
  <si>
    <t>data parsed from RECC_materials_Workbook_v4 with parse_RECC_materials_Workbook.py</t>
  </si>
  <si>
    <t>scale ecoinvent LCI results for construction and automotive steel by 1.25 to reflect the additional pig iron input to replace the scrap to simulate pure primary production.</t>
  </si>
  <si>
    <t>remove energy demand for steel converter and upscaling to account for scrap use, since these are not part of the cast iron supply chain.</t>
  </si>
  <si>
    <t>scale ecoinvent LCI results for cast iron by 1.25 to reflect the additional pig iron input to replace the scrap to simulate pure primary production.</t>
  </si>
  <si>
    <t>use ecoinvent values for natural gas and electricity demand, which are much lower than the previously used values since most of the energy needed is converted on site from production residues.</t>
  </si>
  <si>
    <t>V1.2</t>
  </si>
  <si>
    <t>Add values for bricks</t>
  </si>
  <si>
    <t>Take data directly from RECC_materials_Workbook_v4.xlsx, ref. [3]</t>
  </si>
  <si>
    <t>[3]</t>
  </si>
  <si>
    <t>5b85a26a-a1c3-4f68-a536-4fac459e4c5c</t>
  </si>
  <si>
    <t>production of bricks from clay</t>
  </si>
  <si>
    <t>production of bitumen</t>
  </si>
  <si>
    <t>Add values for bitumen and insulation materials</t>
  </si>
  <si>
    <t>VN1.0</t>
  </si>
  <si>
    <t>7a3f79df-7379-4fe5-a5ee-3dc1c7657e92</t>
  </si>
  <si>
    <t>Lola Rousseau</t>
  </si>
  <si>
    <t>Bitumen</t>
  </si>
  <si>
    <t>Insulation</t>
  </si>
  <si>
    <t>[4]</t>
  </si>
  <si>
    <t>[5]</t>
  </si>
  <si>
    <t>Lausselet et al.</t>
  </si>
  <si>
    <t>Temporal analysis of the material flows and embodied greenhouse gas emissions of a neighborhood building stock</t>
  </si>
  <si>
    <t>https://doi.org/10.1111/jiec.13049</t>
  </si>
  <si>
    <t>mid-value</t>
  </si>
  <si>
    <t>added based on Eurobitume report</t>
  </si>
  <si>
    <t>Table 12. Potential environmental impact for the production of 1 tonne of paving grade bitumen – with infrastructure</t>
  </si>
  <si>
    <t>Eurobitume</t>
  </si>
  <si>
    <t>THE EUROBITUME - LIFE CYCLE INVENTORY FOR BITUMEN</t>
  </si>
  <si>
    <t>https://eurobitume.eu/wp-content/uploads/2024/05/EB-LCI-Update-2021.pdf</t>
  </si>
  <si>
    <t>changed with value from Lausselet et al.</t>
  </si>
  <si>
    <t>Changing cover + Changing year 2015 to 2022</t>
  </si>
  <si>
    <t>Validate bitumen value</t>
  </si>
  <si>
    <t>combined with 95% aggregates</t>
  </si>
  <si>
    <t>combined with 5% bitumen</t>
  </si>
  <si>
    <t>total kgCO2eq/kg asphalt</t>
  </si>
  <si>
    <t>kgCO2eq/kg aggregates</t>
  </si>
  <si>
    <t>kgCO2eq/kg bitumen</t>
  </si>
  <si>
    <t>https://www.epd-norge.no/getfile.php/1372897-1731925763/EPDer/Byggevarer/Asfalt/NEPD-8128-7798_Ag16-24-130154-20--Gjenbruk.pdf</t>
  </si>
  <si>
    <t>Sum A1-A3</t>
  </si>
  <si>
    <t>kgCO2eq/kg asphalt from EPD</t>
  </si>
  <si>
    <t>Compare with a value from an EPD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</si>
</sst>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b/>
      <sz val="11"/>
      <name val="Calibri"/>
      <family val="2"/>
      <scheme val="minor"/>
    </font>
    <font>
      <u/>
      <sz val="11"/>
      <color theme="10"/>
      <name val="Calibri"/>
      <family val="2"/>
      <charset val="128"/>
      <scheme val="minor"/>
    </font>
    <font>
      <b/>
      <sz val="1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10" fillId="0" borderId="0"/>
    <xf numFmtId="0" fontId="15" fillId="0" borderId="0" applyNumberFormat="0" applyFill="0" applyBorder="0" applyAlignment="0" applyProtection="0"/>
  </cellStyleXfs>
  <cellXfs count="58">
    <xf numFmtId="0" fontId="0" fillId="0" borderId="0" xfId="0"/>
    <xf numFmtId="0" fontId="11" fillId="2" borderId="0" xfId="1" applyFont="1" applyFill="1" applyAlignment="1">
      <alignment horizontal="center"/>
    </xf>
    <xf numFmtId="0" fontId="10" fillId="0" borderId="0" xfId="1" quotePrefix="1"/>
    <xf numFmtId="0" fontId="12" fillId="0" borderId="0" xfId="1" applyFont="1"/>
    <xf numFmtId="0" fontId="11" fillId="2" borderId="0" xfId="1" applyFont="1" applyFill="1"/>
    <xf numFmtId="0" fontId="13" fillId="0" borderId="0" xfId="1" applyFont="1"/>
    <xf numFmtId="0" fontId="11" fillId="0" borderId="0" xfId="1" applyFont="1"/>
    <xf numFmtId="0" fontId="10" fillId="3" borderId="0" xfId="1" applyFill="1"/>
    <xf numFmtId="14" fontId="10" fillId="0" borderId="0" xfId="1" quotePrefix="1" applyNumberFormat="1"/>
    <xf numFmtId="0" fontId="14" fillId="2" borderId="0" xfId="1" applyFont="1" applyFill="1"/>
    <xf numFmtId="0" fontId="12" fillId="3" borderId="0" xfId="1" applyFont="1" applyFill="1" applyAlignment="1">
      <alignment horizontal="center"/>
    </xf>
    <xf numFmtId="0" fontId="10" fillId="0" borderId="0" xfId="1"/>
    <xf numFmtId="0" fontId="0" fillId="3" borderId="0" xfId="0" applyFill="1"/>
    <xf numFmtId="0" fontId="9" fillId="0" borderId="0" xfId="1" applyFont="1"/>
    <xf numFmtId="0" fontId="8" fillId="3" borderId="0" xfId="1" applyFont="1" applyFill="1"/>
    <xf numFmtId="0" fontId="11" fillId="0" borderId="0" xfId="0" applyFont="1"/>
    <xf numFmtId="14" fontId="0" fillId="0" borderId="0" xfId="0" applyNumberFormat="1"/>
    <xf numFmtId="16" fontId="0" fillId="0" borderId="0" xfId="0" applyNumberFormat="1"/>
    <xf numFmtId="0" fontId="15" fillId="0" borderId="0" xfId="2"/>
    <xf numFmtId="0" fontId="16" fillId="0" borderId="0" xfId="0" applyFont="1"/>
    <xf numFmtId="0" fontId="7" fillId="0" borderId="0" xfId="1" applyFont="1"/>
    <xf numFmtId="0" fontId="6" fillId="0" borderId="0" xfId="1" quotePrefix="1" applyFont="1"/>
    <xf numFmtId="0" fontId="5" fillId="0" borderId="0" xfId="1" applyFont="1"/>
    <xf numFmtId="0" fontId="5" fillId="3" borderId="0" xfId="1" applyFont="1" applyFill="1"/>
    <xf numFmtId="0" fontId="16" fillId="4" borderId="0" xfId="0" applyFont="1" applyFill="1" applyAlignment="1">
      <alignment wrapText="1"/>
    </xf>
    <xf numFmtId="0" fontId="11" fillId="4" borderId="0" xfId="0" applyFont="1" applyFill="1"/>
    <xf numFmtId="0" fontId="11" fillId="4" borderId="0" xfId="0" applyFont="1" applyFill="1" applyAlignment="1">
      <alignment wrapText="1"/>
    </xf>
    <xf numFmtId="0" fontId="11" fillId="5" borderId="0" xfId="0" applyFont="1" applyFill="1" applyAlignment="1">
      <alignment wrapText="1"/>
    </xf>
    <xf numFmtId="0" fontId="11" fillId="5" borderId="0" xfId="0" applyFont="1" applyFill="1"/>
    <xf numFmtId="0" fontId="13" fillId="0" borderId="0" xfId="0" applyFont="1"/>
    <xf numFmtId="16" fontId="13" fillId="0" borderId="0" xfId="0" applyNumberFormat="1" applyFont="1"/>
    <xf numFmtId="0" fontId="0" fillId="0" borderId="0" xfId="0" applyAlignment="1">
      <alignment horizontal="right"/>
    </xf>
    <xf numFmtId="0" fontId="12" fillId="0" borderId="0" xfId="0" applyFont="1"/>
    <xf numFmtId="0" fontId="13" fillId="6" borderId="0" xfId="0" applyFont="1" applyFill="1"/>
    <xf numFmtId="14" fontId="0" fillId="6" borderId="0" xfId="0" applyNumberFormat="1" applyFill="1"/>
    <xf numFmtId="0" fontId="0" fillId="6" borderId="0" xfId="0" applyFill="1"/>
    <xf numFmtId="16" fontId="13" fillId="6" borderId="0" xfId="0" applyNumberFormat="1" applyFont="1" applyFill="1"/>
    <xf numFmtId="0" fontId="6" fillId="6" borderId="0" xfId="1" quotePrefix="1" applyFont="1" applyFill="1"/>
    <xf numFmtId="0" fontId="4" fillId="0" borderId="0" xfId="1" quotePrefix="1" applyFont="1"/>
    <xf numFmtId="0" fontId="4" fillId="0" borderId="0" xfId="1" applyFont="1"/>
    <xf numFmtId="0" fontId="3" fillId="0" borderId="0" xfId="1" applyFont="1"/>
    <xf numFmtId="0" fontId="2" fillId="0" borderId="0" xfId="1" applyFont="1"/>
    <xf numFmtId="14" fontId="0" fillId="0" borderId="0" xfId="0" quotePrefix="1" applyNumberFormat="1"/>
    <xf numFmtId="0" fontId="13" fillId="7" borderId="0" xfId="0" applyFont="1" applyFill="1"/>
    <xf numFmtId="14" fontId="0" fillId="7" borderId="0" xfId="0" applyNumberFormat="1" applyFill="1"/>
    <xf numFmtId="0" fontId="0" fillId="7" borderId="0" xfId="0" applyFill="1"/>
    <xf numFmtId="16" fontId="13" fillId="7" borderId="0" xfId="0" applyNumberFormat="1" applyFont="1" applyFill="1"/>
    <xf numFmtId="0" fontId="6" fillId="7" borderId="0" xfId="1" quotePrefix="1" applyFont="1" applyFill="1"/>
    <xf numFmtId="0" fontId="0" fillId="8" borderId="0" xfId="0" applyFill="1"/>
    <xf numFmtId="14" fontId="0" fillId="8" borderId="0" xfId="0" applyNumberFormat="1" applyFill="1"/>
    <xf numFmtId="0" fontId="0" fillId="8" borderId="0" xfId="0" quotePrefix="1" applyFill="1"/>
    <xf numFmtId="0" fontId="0" fillId="9" borderId="0" xfId="0" applyFill="1"/>
    <xf numFmtId="0" fontId="1" fillId="0" borderId="0" xfId="1" quotePrefix="1" applyFont="1"/>
    <xf numFmtId="0" fontId="1" fillId="0" borderId="0" xfId="1" applyFont="1"/>
    <xf numFmtId="0" fontId="1" fillId="3" borderId="0" xfId="1" quotePrefix="1" applyFont="1" applyFill="1"/>
    <xf numFmtId="14" fontId="0" fillId="9" borderId="0" xfId="0" applyNumberFormat="1" applyFill="1"/>
    <xf numFmtId="0" fontId="0" fillId="9" borderId="0" xfId="0" quotePrefix="1" applyFill="1"/>
    <xf numFmtId="0" fontId="1" fillId="9" borderId="0" xfId="1" quotePrefix="1" applyFont="1" applyFill="1"/>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d-norge.no/getfile.php/1372897-1731925763/EPDer/Byggevarer/Asfalt/NEPD-8128-7798_Ag16-24-130154-20--Gjenbruk.pdf"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oi.org/10.1111/jiec.13049" TargetMode="External"/><Relationship Id="rId1" Type="http://schemas.openxmlformats.org/officeDocument/2006/relationships/hyperlink" Target="https://eurobitume.eu/wp-content/uploads/2024/05/EB-LCI-Update-20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election activeCell="D22" sqref="D22"/>
    </sheetView>
  </sheetViews>
  <sheetFormatPr defaultColWidth="9.140625" defaultRowHeight="15"/>
  <cols>
    <col min="1" max="1" width="36.5703125" style="11" bestFit="1" customWidth="1"/>
    <col min="2" max="2" width="34.140625" style="11" customWidth="1"/>
    <col min="3" max="3" width="23.140625" style="11" bestFit="1" customWidth="1"/>
    <col min="4" max="4" width="26.42578125" style="11" customWidth="1"/>
    <col min="5" max="5" width="11.5703125" style="11" bestFit="1" customWidth="1"/>
    <col min="6" max="6" width="30.42578125" style="11" customWidth="1"/>
    <col min="7" max="7" width="6.5703125" style="11" customWidth="1"/>
    <col min="8" max="8" width="43" style="11" customWidth="1"/>
    <col min="9" max="9" width="3.42578125" style="11" customWidth="1"/>
    <col min="10" max="11" width="3.140625" style="11" customWidth="1"/>
    <col min="12" max="12" width="9.140625" style="11" customWidth="1"/>
    <col min="13" max="16384" width="9.140625" style="11"/>
  </cols>
  <sheetData>
    <row r="1" spans="1:12">
      <c r="A1" s="1" t="s">
        <v>0</v>
      </c>
      <c r="E1" s="2"/>
      <c r="H1" s="3" t="s">
        <v>1</v>
      </c>
    </row>
    <row r="2" spans="1:12">
      <c r="A2" s="4" t="s">
        <v>2</v>
      </c>
      <c r="B2" s="21" t="s">
        <v>3</v>
      </c>
      <c r="E2" s="2"/>
      <c r="H2" s="5" t="s">
        <v>4</v>
      </c>
      <c r="L2" s="2"/>
    </row>
    <row r="3" spans="1:12">
      <c r="A3" s="4" t="s">
        <v>5</v>
      </c>
      <c r="B3" s="22" t="s">
        <v>94</v>
      </c>
      <c r="E3" s="2"/>
      <c r="H3" s="5" t="s">
        <v>6</v>
      </c>
      <c r="L3" s="2"/>
    </row>
    <row r="4" spans="1:12">
      <c r="A4" s="4" t="s">
        <v>7</v>
      </c>
      <c r="B4" s="41" t="s">
        <v>133</v>
      </c>
      <c r="E4" s="2"/>
      <c r="H4" s="11" t="s">
        <v>8</v>
      </c>
      <c r="L4" s="2"/>
    </row>
    <row r="5" spans="1:12">
      <c r="A5" s="4" t="s">
        <v>9</v>
      </c>
      <c r="B5" s="38" t="s">
        <v>114</v>
      </c>
      <c r="E5" s="2"/>
      <c r="H5" s="11" t="s">
        <v>10</v>
      </c>
      <c r="L5" s="2"/>
    </row>
    <row r="6" spans="1:12">
      <c r="A6" s="4" t="s">
        <v>11</v>
      </c>
      <c r="B6" s="2" t="s">
        <v>12</v>
      </c>
      <c r="E6" s="2"/>
      <c r="H6" s="11" t="s">
        <v>13</v>
      </c>
      <c r="L6" s="2"/>
    </row>
    <row r="7" spans="1:12">
      <c r="A7" s="4" t="s">
        <v>14</v>
      </c>
      <c r="B7" s="39" t="s">
        <v>12</v>
      </c>
      <c r="E7" s="2"/>
      <c r="H7" s="11" t="s">
        <v>15</v>
      </c>
      <c r="L7" s="2"/>
    </row>
    <row r="8" spans="1:12">
      <c r="A8" s="6" t="s">
        <v>16</v>
      </c>
      <c r="B8" s="11" t="s">
        <v>17</v>
      </c>
      <c r="E8" s="2"/>
      <c r="H8" s="11" t="s">
        <v>18</v>
      </c>
      <c r="L8" s="2"/>
    </row>
    <row r="9" spans="1:12">
      <c r="A9" s="6" t="s">
        <v>19</v>
      </c>
      <c r="B9" s="23" t="s">
        <v>95</v>
      </c>
      <c r="E9" s="2"/>
      <c r="H9" s="11" t="s">
        <v>20</v>
      </c>
      <c r="L9" s="2"/>
    </row>
    <row r="10" spans="1:12">
      <c r="A10" s="4" t="s">
        <v>21</v>
      </c>
      <c r="B10" s="52" t="s">
        <v>156</v>
      </c>
      <c r="E10" s="2"/>
      <c r="H10" s="11" t="s">
        <v>22</v>
      </c>
      <c r="L10" s="2"/>
    </row>
    <row r="11" spans="1:12">
      <c r="A11" s="6" t="s">
        <v>23</v>
      </c>
      <c r="B11" s="8">
        <v>44974</v>
      </c>
      <c r="E11" s="2"/>
      <c r="H11" s="11" t="s">
        <v>24</v>
      </c>
      <c r="L11" s="2"/>
    </row>
    <row r="12" spans="1:12">
      <c r="A12" s="4" t="s">
        <v>25</v>
      </c>
      <c r="B12" s="42">
        <v>45617</v>
      </c>
      <c r="E12" s="2"/>
      <c r="H12" s="11" t="s">
        <v>26</v>
      </c>
      <c r="L12" s="2"/>
    </row>
    <row r="13" spans="1:12">
      <c r="A13" s="4" t="s">
        <v>27</v>
      </c>
      <c r="B13" s="53" t="s">
        <v>157</v>
      </c>
      <c r="E13" s="2"/>
      <c r="H13" s="11" t="s">
        <v>28</v>
      </c>
      <c r="L13" s="2"/>
    </row>
    <row r="14" spans="1:12">
      <c r="A14" s="4" t="s">
        <v>29</v>
      </c>
      <c r="B14" s="54" t="s">
        <v>155</v>
      </c>
      <c r="E14" s="2"/>
      <c r="H14" s="11" t="s">
        <v>30</v>
      </c>
      <c r="L14" s="2"/>
    </row>
    <row r="15" spans="1:12">
      <c r="A15" s="4" t="s">
        <v>31</v>
      </c>
      <c r="B15" s="14" t="s">
        <v>59</v>
      </c>
      <c r="E15" s="2"/>
      <c r="H15" s="11" t="s">
        <v>32</v>
      </c>
      <c r="L15" s="2"/>
    </row>
    <row r="16" spans="1:12">
      <c r="A16" s="6" t="s">
        <v>33</v>
      </c>
      <c r="E16" s="2"/>
      <c r="L16" s="2"/>
    </row>
    <row r="17" spans="1:12">
      <c r="A17" s="6" t="s">
        <v>33</v>
      </c>
      <c r="E17" s="2"/>
      <c r="L17" s="2"/>
    </row>
    <row r="18" spans="1:12">
      <c r="A18" s="6" t="s">
        <v>33</v>
      </c>
      <c r="E18" s="2"/>
      <c r="L18" s="2"/>
    </row>
    <row r="19" spans="1:12">
      <c r="A19" s="6" t="s">
        <v>33</v>
      </c>
      <c r="E19" s="2"/>
      <c r="L19" s="2"/>
    </row>
    <row r="20" spans="1:12">
      <c r="A20" s="6" t="s">
        <v>33</v>
      </c>
      <c r="E20" s="2"/>
      <c r="L20" s="2"/>
    </row>
    <row r="21" spans="1:12">
      <c r="A21" s="4" t="s">
        <v>34</v>
      </c>
      <c r="B21" s="1" t="s">
        <v>35</v>
      </c>
      <c r="C21" s="9" t="s">
        <v>36</v>
      </c>
      <c r="D21" s="10">
        <v>129</v>
      </c>
      <c r="E21" s="9" t="s">
        <v>37</v>
      </c>
      <c r="F21" s="10">
        <v>1</v>
      </c>
      <c r="H21" s="11" t="s">
        <v>38</v>
      </c>
      <c r="L21" s="2"/>
    </row>
    <row r="22" spans="1:12">
      <c r="A22" s="4" t="s">
        <v>39</v>
      </c>
      <c r="B22" s="4" t="s">
        <v>40</v>
      </c>
      <c r="C22" s="4" t="s">
        <v>41</v>
      </c>
      <c r="D22" s="4" t="s">
        <v>42</v>
      </c>
      <c r="E22" s="4" t="s">
        <v>43</v>
      </c>
      <c r="F22" s="4" t="s">
        <v>44</v>
      </c>
      <c r="L22" s="2"/>
    </row>
    <row r="23" spans="1:12">
      <c r="A23" s="12" t="s">
        <v>58</v>
      </c>
      <c r="B23" t="s">
        <v>117</v>
      </c>
      <c r="C23" s="12" t="s">
        <v>49</v>
      </c>
      <c r="D23" t="s">
        <v>69</v>
      </c>
      <c r="E23" s="7" t="s">
        <v>45</v>
      </c>
      <c r="F23" s="11" t="s">
        <v>17</v>
      </c>
      <c r="G23" s="2"/>
      <c r="H23" s="11" t="s">
        <v>46</v>
      </c>
      <c r="L23" s="2"/>
    </row>
    <row r="24" spans="1:12">
      <c r="A24" s="12" t="s">
        <v>90</v>
      </c>
      <c r="B24" t="s">
        <v>91</v>
      </c>
      <c r="E24" s="7" t="s">
        <v>47</v>
      </c>
      <c r="F24" s="39" t="s">
        <v>114</v>
      </c>
      <c r="G24" s="2"/>
      <c r="H24" s="3" t="s">
        <v>48</v>
      </c>
      <c r="L24" s="2"/>
    </row>
    <row r="25" spans="1:12">
      <c r="A25" s="12" t="s">
        <v>60</v>
      </c>
      <c r="B25" t="s">
        <v>61</v>
      </c>
      <c r="C25" s="3"/>
      <c r="E25" s="7" t="s">
        <v>50</v>
      </c>
      <c r="F25" s="11" t="s">
        <v>51</v>
      </c>
      <c r="G25" s="2"/>
      <c r="H25" s="3" t="s">
        <v>52</v>
      </c>
      <c r="L25" s="2"/>
    </row>
    <row r="26" spans="1:12">
      <c r="E26" s="7" t="s">
        <v>53</v>
      </c>
      <c r="F26" s="11" t="s">
        <v>54</v>
      </c>
      <c r="G26" s="2"/>
      <c r="H26" s="11" t="s">
        <v>55</v>
      </c>
      <c r="L26" s="2"/>
    </row>
    <row r="27" spans="1:12">
      <c r="B27" s="20"/>
      <c r="G27" s="2"/>
      <c r="L27" s="2"/>
    </row>
    <row r="28" spans="1:12">
      <c r="E28" s="2"/>
      <c r="G28" s="2"/>
      <c r="L28" s="2"/>
    </row>
    <row r="29" spans="1:12">
      <c r="G29" s="2" t="s">
        <v>56</v>
      </c>
    </row>
    <row r="30" spans="1:12">
      <c r="G30" s="2" t="s">
        <v>56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0"/>
  <sheetViews>
    <sheetView topLeftCell="A109" zoomScaleNormal="100" workbookViewId="0">
      <selection sqref="A1:A1048576"/>
    </sheetView>
  </sheetViews>
  <sheetFormatPr defaultColWidth="9" defaultRowHeight="15"/>
  <cols>
    <col min="1" max="1" width="39.28515625" bestFit="1" customWidth="1"/>
    <col min="2" max="2" width="39" bestFit="1" customWidth="1"/>
    <col min="3" max="3" width="12.42578125" bestFit="1" customWidth="1"/>
    <col min="4" max="4" width="11.7109375" bestFit="1" customWidth="1"/>
    <col min="5" max="5" width="11.28515625" bestFit="1" customWidth="1"/>
  </cols>
  <sheetData>
    <row r="1" spans="1:5">
      <c r="A1" t="s">
        <v>58</v>
      </c>
      <c r="B1" t="s">
        <v>90</v>
      </c>
      <c r="C1" t="s">
        <v>60</v>
      </c>
      <c r="D1">
        <v>2022</v>
      </c>
      <c r="E1" t="s">
        <v>47</v>
      </c>
    </row>
    <row r="2" spans="1:5">
      <c r="A2" t="s">
        <v>79</v>
      </c>
      <c r="B2" t="s">
        <v>92</v>
      </c>
      <c r="C2" t="s">
        <v>57</v>
      </c>
      <c r="D2" s="45">
        <v>6.65</v>
      </c>
      <c r="E2" t="s">
        <v>112</v>
      </c>
    </row>
    <row r="3" spans="1:5">
      <c r="A3" t="s">
        <v>79</v>
      </c>
      <c r="B3" t="s">
        <v>119</v>
      </c>
      <c r="C3" t="s">
        <v>57</v>
      </c>
      <c r="D3" s="45">
        <v>1.77</v>
      </c>
      <c r="E3" t="s">
        <v>120</v>
      </c>
    </row>
    <row r="4" spans="1:5">
      <c r="A4" t="s">
        <v>79</v>
      </c>
      <c r="B4" t="s">
        <v>121</v>
      </c>
      <c r="C4" t="s">
        <v>57</v>
      </c>
      <c r="D4" s="45">
        <v>0.21</v>
      </c>
      <c r="E4" t="s">
        <v>113</v>
      </c>
    </row>
    <row r="5" spans="1:5">
      <c r="A5" t="s">
        <v>79</v>
      </c>
      <c r="B5" t="s">
        <v>122</v>
      </c>
      <c r="C5" t="s">
        <v>57</v>
      </c>
      <c r="D5" s="45">
        <v>162.53159386862001</v>
      </c>
      <c r="E5" t="s">
        <v>118</v>
      </c>
    </row>
    <row r="6" spans="1:5">
      <c r="A6" t="s">
        <v>79</v>
      </c>
      <c r="B6" t="s">
        <v>123</v>
      </c>
      <c r="C6" t="s">
        <v>57</v>
      </c>
      <c r="D6" s="45">
        <v>0.10095268356485999</v>
      </c>
      <c r="E6" t="s">
        <v>118</v>
      </c>
    </row>
    <row r="7" spans="1:5">
      <c r="A7" t="s">
        <v>79</v>
      </c>
      <c r="B7" t="s">
        <v>124</v>
      </c>
      <c r="C7" t="s">
        <v>57</v>
      </c>
      <c r="D7" s="45">
        <v>162.217591008272</v>
      </c>
      <c r="E7" t="s">
        <v>118</v>
      </c>
    </row>
    <row r="8" spans="1:5">
      <c r="A8" t="s">
        <v>79</v>
      </c>
      <c r="B8" t="s">
        <v>125</v>
      </c>
      <c r="C8" t="s">
        <v>57</v>
      </c>
      <c r="D8" s="45">
        <v>0.20364524275211801</v>
      </c>
      <c r="E8" t="s">
        <v>118</v>
      </c>
    </row>
    <row r="9" spans="1:5">
      <c r="A9" t="s">
        <v>79</v>
      </c>
      <c r="B9" t="s">
        <v>126</v>
      </c>
      <c r="C9" t="s">
        <v>57</v>
      </c>
      <c r="D9" s="45">
        <v>9.4049340312988301E-3</v>
      </c>
      <c r="E9" t="s">
        <v>118</v>
      </c>
    </row>
    <row r="10" spans="1:5">
      <c r="A10" t="s">
        <v>86</v>
      </c>
      <c r="B10" t="s">
        <v>92</v>
      </c>
      <c r="C10" t="s">
        <v>57</v>
      </c>
      <c r="D10" s="45">
        <v>0.85</v>
      </c>
      <c r="E10" t="s">
        <v>112</v>
      </c>
    </row>
    <row r="11" spans="1:5">
      <c r="A11" t="s">
        <v>86</v>
      </c>
      <c r="B11" t="s">
        <v>119</v>
      </c>
      <c r="C11" t="s">
        <v>57</v>
      </c>
      <c r="D11" s="45">
        <v>0.02</v>
      </c>
      <c r="E11" t="s">
        <v>120</v>
      </c>
    </row>
    <row r="12" spans="1:5">
      <c r="A12" t="s">
        <v>86</v>
      </c>
      <c r="B12" t="s">
        <v>121</v>
      </c>
      <c r="C12" t="s">
        <v>57</v>
      </c>
      <c r="D12" s="45">
        <v>1.4E-3</v>
      </c>
      <c r="E12" t="s">
        <v>113</v>
      </c>
    </row>
    <row r="13" spans="1:5">
      <c r="A13" t="s">
        <v>86</v>
      </c>
      <c r="B13" t="s">
        <v>122</v>
      </c>
      <c r="C13" t="s">
        <v>57</v>
      </c>
      <c r="D13" s="45">
        <v>1.71218585571454</v>
      </c>
      <c r="E13" t="s">
        <v>118</v>
      </c>
    </row>
    <row r="14" spans="1:5">
      <c r="A14" t="s">
        <v>86</v>
      </c>
      <c r="B14" t="s">
        <v>123</v>
      </c>
      <c r="C14" t="s">
        <v>57</v>
      </c>
      <c r="D14" s="45">
        <v>0.12448172880056101</v>
      </c>
      <c r="E14" t="s">
        <v>118</v>
      </c>
    </row>
    <row r="15" spans="1:5">
      <c r="A15" t="s">
        <v>86</v>
      </c>
      <c r="B15" t="s">
        <v>124</v>
      </c>
      <c r="C15" t="s">
        <v>57</v>
      </c>
      <c r="D15" s="45">
        <v>5.5349844453004698E-2</v>
      </c>
      <c r="E15" t="s">
        <v>118</v>
      </c>
    </row>
    <row r="16" spans="1:5">
      <c r="A16" t="s">
        <v>86</v>
      </c>
      <c r="B16" t="s">
        <v>125</v>
      </c>
      <c r="C16" t="s">
        <v>57</v>
      </c>
      <c r="D16" s="45">
        <v>1.5287048152743099</v>
      </c>
      <c r="E16" t="s">
        <v>118</v>
      </c>
    </row>
    <row r="17" spans="1:5">
      <c r="A17" t="s">
        <v>86</v>
      </c>
      <c r="B17" t="s">
        <v>126</v>
      </c>
      <c r="C17" t="s">
        <v>57</v>
      </c>
      <c r="D17" s="45">
        <v>3.6494671866588702E-3</v>
      </c>
      <c r="E17" t="s">
        <v>118</v>
      </c>
    </row>
    <row r="18" spans="1:5">
      <c r="A18" t="s">
        <v>93</v>
      </c>
      <c r="B18" t="s">
        <v>92</v>
      </c>
      <c r="C18" t="s">
        <v>57</v>
      </c>
      <c r="D18" s="45">
        <v>4.1000000000000003E-3</v>
      </c>
      <c r="E18" t="s">
        <v>112</v>
      </c>
    </row>
    <row r="19" spans="1:5">
      <c r="A19" t="s">
        <v>93</v>
      </c>
      <c r="B19" t="s">
        <v>119</v>
      </c>
      <c r="C19" t="s">
        <v>57</v>
      </c>
      <c r="D19" s="45">
        <v>5.8E-4</v>
      </c>
      <c r="E19" t="s">
        <v>120</v>
      </c>
    </row>
    <row r="20" spans="1:5">
      <c r="A20" t="s">
        <v>93</v>
      </c>
      <c r="B20" t="s">
        <v>121</v>
      </c>
      <c r="C20" t="s">
        <v>57</v>
      </c>
      <c r="D20" s="45">
        <v>1.4E-3</v>
      </c>
      <c r="E20" t="s">
        <v>113</v>
      </c>
    </row>
    <row r="21" spans="1:5">
      <c r="A21" t="s">
        <v>93</v>
      </c>
      <c r="B21" t="s">
        <v>122</v>
      </c>
      <c r="C21" t="s">
        <v>57</v>
      </c>
      <c r="D21" s="45">
        <v>1.0409999999999999</v>
      </c>
      <c r="E21" t="s">
        <v>118</v>
      </c>
    </row>
    <row r="22" spans="1:5">
      <c r="A22" t="s">
        <v>93</v>
      </c>
      <c r="B22" t="s">
        <v>123</v>
      </c>
      <c r="C22" t="s">
        <v>57</v>
      </c>
      <c r="D22" s="45">
        <v>0</v>
      </c>
      <c r="E22" t="s">
        <v>118</v>
      </c>
    </row>
    <row r="23" spans="1:5">
      <c r="A23" t="s">
        <v>93</v>
      </c>
      <c r="B23" t="s">
        <v>124</v>
      </c>
      <c r="C23" t="s">
        <v>57</v>
      </c>
      <c r="D23" s="45">
        <v>0</v>
      </c>
      <c r="E23" t="s">
        <v>118</v>
      </c>
    </row>
    <row r="24" spans="1:5">
      <c r="A24" t="s">
        <v>93</v>
      </c>
      <c r="B24" t="s">
        <v>125</v>
      </c>
      <c r="C24" t="s">
        <v>57</v>
      </c>
      <c r="D24" s="45">
        <v>1.0409999999999999</v>
      </c>
      <c r="E24" t="s">
        <v>118</v>
      </c>
    </row>
    <row r="25" spans="1:5">
      <c r="A25" t="s">
        <v>93</v>
      </c>
      <c r="B25" t="s">
        <v>126</v>
      </c>
      <c r="C25" t="s">
        <v>57</v>
      </c>
      <c r="D25" s="45">
        <v>0</v>
      </c>
      <c r="E25" t="s">
        <v>118</v>
      </c>
    </row>
    <row r="26" spans="1:5">
      <c r="A26" t="s">
        <v>76</v>
      </c>
      <c r="B26" t="s">
        <v>92</v>
      </c>
      <c r="C26" t="s">
        <v>57</v>
      </c>
      <c r="D26" s="45">
        <v>2.2000000000000002</v>
      </c>
      <c r="E26" t="s">
        <v>112</v>
      </c>
    </row>
    <row r="27" spans="1:5">
      <c r="A27" t="s">
        <v>76</v>
      </c>
      <c r="B27" t="s">
        <v>119</v>
      </c>
      <c r="C27" t="s">
        <v>57</v>
      </c>
      <c r="D27" s="45">
        <v>0.05</v>
      </c>
      <c r="E27" t="s">
        <v>120</v>
      </c>
    </row>
    <row r="28" spans="1:5">
      <c r="A28" t="s">
        <v>76</v>
      </c>
      <c r="B28" t="s">
        <v>121</v>
      </c>
      <c r="C28" t="s">
        <v>57</v>
      </c>
      <c r="D28" s="45">
        <v>1.2500000000000001E-2</v>
      </c>
      <c r="E28" t="s">
        <v>113</v>
      </c>
    </row>
    <row r="29" spans="1:5">
      <c r="A29" t="s">
        <v>76</v>
      </c>
      <c r="B29" t="s">
        <v>122</v>
      </c>
      <c r="C29" t="s">
        <v>57</v>
      </c>
      <c r="D29" s="45">
        <v>4.4336124711047749</v>
      </c>
      <c r="E29" t="s">
        <v>118</v>
      </c>
    </row>
    <row r="30" spans="1:5">
      <c r="A30" t="s">
        <v>76</v>
      </c>
      <c r="B30" t="s">
        <v>123</v>
      </c>
      <c r="C30" t="s">
        <v>57</v>
      </c>
      <c r="D30" s="45">
        <v>0.62095271851626244</v>
      </c>
      <c r="E30" t="s">
        <v>118</v>
      </c>
    </row>
    <row r="31" spans="1:5">
      <c r="A31" t="s">
        <v>76</v>
      </c>
      <c r="B31" t="s">
        <v>124</v>
      </c>
      <c r="C31" t="s">
        <v>57</v>
      </c>
      <c r="D31" s="45">
        <v>3.4916847965595501</v>
      </c>
      <c r="E31" t="s">
        <v>118</v>
      </c>
    </row>
    <row r="32" spans="1:5">
      <c r="A32" t="s">
        <v>76</v>
      </c>
      <c r="B32" t="s">
        <v>125</v>
      </c>
      <c r="C32" t="s">
        <v>57</v>
      </c>
      <c r="D32" s="45">
        <v>0.32082842410858747</v>
      </c>
      <c r="E32" t="s">
        <v>118</v>
      </c>
    </row>
    <row r="33" spans="1:5">
      <c r="A33" t="s">
        <v>76</v>
      </c>
      <c r="B33" t="s">
        <v>126</v>
      </c>
      <c r="C33" t="s">
        <v>57</v>
      </c>
      <c r="D33" s="45">
        <v>1.4653192037816131E-4</v>
      </c>
      <c r="E33" t="s">
        <v>118</v>
      </c>
    </row>
    <row r="34" spans="1:5">
      <c r="A34" t="s">
        <v>77</v>
      </c>
      <c r="B34" t="s">
        <v>92</v>
      </c>
      <c r="C34" t="s">
        <v>57</v>
      </c>
      <c r="D34" s="45">
        <v>2.7250000000000001</v>
      </c>
      <c r="E34" t="s">
        <v>112</v>
      </c>
    </row>
    <row r="35" spans="1:5">
      <c r="A35" t="s">
        <v>77</v>
      </c>
      <c r="B35" t="s">
        <v>119</v>
      </c>
      <c r="C35" t="s">
        <v>57</v>
      </c>
      <c r="D35" s="45">
        <v>0.125</v>
      </c>
      <c r="E35" t="s">
        <v>120</v>
      </c>
    </row>
    <row r="36" spans="1:5">
      <c r="A36" t="s">
        <v>77</v>
      </c>
      <c r="B36" t="s">
        <v>121</v>
      </c>
      <c r="C36" t="s">
        <v>57</v>
      </c>
      <c r="D36" s="45">
        <v>1.7500000000000002E-2</v>
      </c>
      <c r="E36" t="s">
        <v>113</v>
      </c>
    </row>
    <row r="37" spans="1:5">
      <c r="A37" t="s">
        <v>77</v>
      </c>
      <c r="B37" t="s">
        <v>122</v>
      </c>
      <c r="C37" t="s">
        <v>57</v>
      </c>
      <c r="D37" s="45">
        <v>5.1065177595385123</v>
      </c>
      <c r="E37" t="s">
        <v>118</v>
      </c>
    </row>
    <row r="38" spans="1:5">
      <c r="A38" t="s">
        <v>77</v>
      </c>
      <c r="B38" t="s">
        <v>123</v>
      </c>
      <c r="C38" t="s">
        <v>57</v>
      </c>
      <c r="D38" s="45">
        <v>0.63107398528536995</v>
      </c>
      <c r="E38" t="s">
        <v>118</v>
      </c>
    </row>
    <row r="39" spans="1:5">
      <c r="A39" t="s">
        <v>77</v>
      </c>
      <c r="B39" t="s">
        <v>124</v>
      </c>
      <c r="C39" t="s">
        <v>57</v>
      </c>
      <c r="D39" s="45">
        <v>4.1465748278427998</v>
      </c>
      <c r="E39" t="s">
        <v>118</v>
      </c>
    </row>
    <row r="40" spans="1:5">
      <c r="A40" t="s">
        <v>77</v>
      </c>
      <c r="B40" t="s">
        <v>125</v>
      </c>
      <c r="C40" t="s">
        <v>57</v>
      </c>
      <c r="D40" s="45">
        <v>0.32863231074671873</v>
      </c>
      <c r="E40" t="s">
        <v>118</v>
      </c>
    </row>
    <row r="41" spans="1:5">
      <c r="A41" t="s">
        <v>77</v>
      </c>
      <c r="B41" t="s">
        <v>126</v>
      </c>
      <c r="C41" t="s">
        <v>57</v>
      </c>
      <c r="D41" s="45">
        <v>2.366356636237775E-4</v>
      </c>
      <c r="E41" t="s">
        <v>118</v>
      </c>
    </row>
    <row r="42" spans="1:5">
      <c r="A42" t="s">
        <v>84</v>
      </c>
      <c r="B42" t="s">
        <v>92</v>
      </c>
      <c r="C42" t="s">
        <v>57</v>
      </c>
      <c r="D42" s="45">
        <v>2.2000000000000002</v>
      </c>
      <c r="E42" t="s">
        <v>112</v>
      </c>
    </row>
    <row r="43" spans="1:5">
      <c r="A43" t="s">
        <v>84</v>
      </c>
      <c r="B43" t="s">
        <v>119</v>
      </c>
      <c r="C43" t="s">
        <v>57</v>
      </c>
      <c r="D43" s="45">
        <v>6.7500000000000004E-2</v>
      </c>
      <c r="E43" t="s">
        <v>120</v>
      </c>
    </row>
    <row r="44" spans="1:5">
      <c r="A44" t="s">
        <v>84</v>
      </c>
      <c r="B44" t="s">
        <v>121</v>
      </c>
      <c r="C44" t="s">
        <v>57</v>
      </c>
      <c r="D44" s="45">
        <v>1.0375000000000001E-2</v>
      </c>
      <c r="E44" t="s">
        <v>113</v>
      </c>
    </row>
    <row r="45" spans="1:5">
      <c r="A45" t="s">
        <v>84</v>
      </c>
      <c r="B45" t="s">
        <v>122</v>
      </c>
      <c r="C45" t="s">
        <v>57</v>
      </c>
      <c r="D45" s="45">
        <v>3.9997932583717382</v>
      </c>
      <c r="E45" t="s">
        <v>118</v>
      </c>
    </row>
    <row r="46" spans="1:5">
      <c r="A46" t="s">
        <v>84</v>
      </c>
      <c r="B46" t="s">
        <v>123</v>
      </c>
      <c r="C46" t="s">
        <v>57</v>
      </c>
      <c r="D46" s="45">
        <v>0.66871212337040009</v>
      </c>
      <c r="E46" t="s">
        <v>118</v>
      </c>
    </row>
    <row r="47" spans="1:5">
      <c r="A47" t="s">
        <v>84</v>
      </c>
      <c r="B47" t="s">
        <v>124</v>
      </c>
      <c r="C47" t="s">
        <v>57</v>
      </c>
      <c r="D47" s="45">
        <v>2.9375776016895632</v>
      </c>
      <c r="E47" t="s">
        <v>118</v>
      </c>
    </row>
    <row r="48" spans="1:5">
      <c r="A48" t="s">
        <v>84</v>
      </c>
      <c r="B48" t="s">
        <v>125</v>
      </c>
      <c r="C48" t="s">
        <v>57</v>
      </c>
      <c r="D48" s="45">
        <v>0.3927999549391375</v>
      </c>
      <c r="E48" t="s">
        <v>118</v>
      </c>
    </row>
    <row r="49" spans="1:5">
      <c r="A49" t="s">
        <v>84</v>
      </c>
      <c r="B49" t="s">
        <v>126</v>
      </c>
      <c r="C49" t="s">
        <v>57</v>
      </c>
      <c r="D49" s="45">
        <v>7.0357837264775885E-4</v>
      </c>
      <c r="E49" t="s">
        <v>118</v>
      </c>
    </row>
    <row r="50" spans="1:5">
      <c r="A50" t="s">
        <v>85</v>
      </c>
      <c r="B50" t="s">
        <v>92</v>
      </c>
      <c r="C50" t="s">
        <v>57</v>
      </c>
      <c r="D50" s="45">
        <v>5.23</v>
      </c>
      <c r="E50" t="s">
        <v>112</v>
      </c>
    </row>
    <row r="51" spans="1:5">
      <c r="A51" t="s">
        <v>85</v>
      </c>
      <c r="B51" t="s">
        <v>119</v>
      </c>
      <c r="C51" t="s">
        <v>57</v>
      </c>
      <c r="D51" s="45">
        <v>0.43</v>
      </c>
      <c r="E51" t="s">
        <v>120</v>
      </c>
    </row>
    <row r="52" spans="1:5">
      <c r="A52" t="s">
        <v>85</v>
      </c>
      <c r="B52" t="s">
        <v>121</v>
      </c>
      <c r="C52" t="s">
        <v>57</v>
      </c>
      <c r="D52" s="45">
        <v>0.05</v>
      </c>
      <c r="E52" t="s">
        <v>113</v>
      </c>
    </row>
    <row r="53" spans="1:5">
      <c r="A53" t="s">
        <v>85</v>
      </c>
      <c r="B53" t="s">
        <v>122</v>
      </c>
      <c r="C53" t="s">
        <v>57</v>
      </c>
      <c r="D53" s="45">
        <v>4.30382165601113</v>
      </c>
      <c r="E53" t="s">
        <v>118</v>
      </c>
    </row>
    <row r="54" spans="1:5">
      <c r="A54" t="s">
        <v>85</v>
      </c>
      <c r="B54" t="s">
        <v>123</v>
      </c>
      <c r="C54" t="s">
        <v>57</v>
      </c>
      <c r="D54" s="45">
        <v>3.24076647015233E-2</v>
      </c>
      <c r="E54" t="s">
        <v>118</v>
      </c>
    </row>
    <row r="55" spans="1:5">
      <c r="A55" t="s">
        <v>85</v>
      </c>
      <c r="B55" t="s">
        <v>124</v>
      </c>
      <c r="C55" t="s">
        <v>57</v>
      </c>
      <c r="D55" s="45">
        <v>4.2496303131702504</v>
      </c>
      <c r="E55" t="s">
        <v>118</v>
      </c>
    </row>
    <row r="56" spans="1:5">
      <c r="A56" t="s">
        <v>85</v>
      </c>
      <c r="B56" t="s">
        <v>125</v>
      </c>
      <c r="C56" t="s">
        <v>57</v>
      </c>
      <c r="D56" s="45">
        <v>2.1761195563990001E-2</v>
      </c>
      <c r="E56" t="s">
        <v>118</v>
      </c>
    </row>
    <row r="57" spans="1:5">
      <c r="A57" t="s">
        <v>85</v>
      </c>
      <c r="B57" t="s">
        <v>126</v>
      </c>
      <c r="C57" t="s">
        <v>57</v>
      </c>
      <c r="D57" s="45">
        <v>2.24825753733846E-5</v>
      </c>
      <c r="E57" t="s">
        <v>118</v>
      </c>
    </row>
    <row r="58" spans="1:5">
      <c r="A58" t="s">
        <v>78</v>
      </c>
      <c r="B58" t="s">
        <v>92</v>
      </c>
      <c r="C58" t="s">
        <v>57</v>
      </c>
      <c r="D58" s="45">
        <v>20.8</v>
      </c>
      <c r="E58" t="s">
        <v>112</v>
      </c>
    </row>
    <row r="59" spans="1:5">
      <c r="A59" t="s">
        <v>78</v>
      </c>
      <c r="B59" t="s">
        <v>119</v>
      </c>
      <c r="C59" t="s">
        <v>57</v>
      </c>
      <c r="D59" s="45">
        <v>0.48599999999999999</v>
      </c>
      <c r="E59" t="s">
        <v>120</v>
      </c>
    </row>
    <row r="60" spans="1:5">
      <c r="A60" t="s">
        <v>78</v>
      </c>
      <c r="B60" t="s">
        <v>121</v>
      </c>
      <c r="C60" t="s">
        <v>57</v>
      </c>
      <c r="D60" s="45">
        <v>4.7E-2</v>
      </c>
      <c r="E60" t="s">
        <v>113</v>
      </c>
    </row>
    <row r="61" spans="1:5">
      <c r="A61" t="s">
        <v>78</v>
      </c>
      <c r="B61" t="s">
        <v>122</v>
      </c>
      <c r="C61" t="s">
        <v>57</v>
      </c>
      <c r="D61" s="45">
        <v>15.0630885324661</v>
      </c>
      <c r="E61" t="s">
        <v>118</v>
      </c>
    </row>
    <row r="62" spans="1:5">
      <c r="A62" t="s">
        <v>78</v>
      </c>
      <c r="B62" t="s">
        <v>123</v>
      </c>
      <c r="C62" t="s">
        <v>57</v>
      </c>
      <c r="D62" s="45">
        <v>1.2116038473931099</v>
      </c>
      <c r="E62" t="s">
        <v>118</v>
      </c>
    </row>
    <row r="63" spans="1:5">
      <c r="A63" t="s">
        <v>78</v>
      </c>
      <c r="B63" t="s">
        <v>124</v>
      </c>
      <c r="C63" t="s">
        <v>57</v>
      </c>
      <c r="D63" s="45">
        <v>13.6697605423279</v>
      </c>
      <c r="E63" t="s">
        <v>118</v>
      </c>
    </row>
    <row r="64" spans="1:5">
      <c r="A64" t="s">
        <v>78</v>
      </c>
      <c r="B64" t="s">
        <v>125</v>
      </c>
      <c r="C64" t="s">
        <v>57</v>
      </c>
      <c r="D64" s="45">
        <v>0.16810290082478899</v>
      </c>
      <c r="E64" t="s">
        <v>118</v>
      </c>
    </row>
    <row r="65" spans="1:5">
      <c r="A65" t="s">
        <v>78</v>
      </c>
      <c r="B65" t="s">
        <v>126</v>
      </c>
      <c r="C65" t="s">
        <v>57</v>
      </c>
      <c r="D65" s="45">
        <v>1.36212419202935E-2</v>
      </c>
      <c r="E65" t="s">
        <v>118</v>
      </c>
    </row>
    <row r="66" spans="1:5">
      <c r="A66" t="s">
        <v>83</v>
      </c>
      <c r="B66" t="s">
        <v>92</v>
      </c>
      <c r="C66" t="s">
        <v>57</v>
      </c>
      <c r="D66" s="45">
        <v>20.8</v>
      </c>
      <c r="E66" t="s">
        <v>112</v>
      </c>
    </row>
    <row r="67" spans="1:5">
      <c r="A67" t="s">
        <v>83</v>
      </c>
      <c r="B67" t="s">
        <v>119</v>
      </c>
      <c r="C67" t="s">
        <v>57</v>
      </c>
      <c r="D67" s="45">
        <v>0.48599999999999999</v>
      </c>
      <c r="E67" t="s">
        <v>120</v>
      </c>
    </row>
    <row r="68" spans="1:5">
      <c r="A68" t="s">
        <v>83</v>
      </c>
      <c r="B68" t="s">
        <v>121</v>
      </c>
      <c r="C68" t="s">
        <v>57</v>
      </c>
      <c r="D68" s="45">
        <v>4.7E-2</v>
      </c>
      <c r="E68" t="s">
        <v>113</v>
      </c>
    </row>
    <row r="69" spans="1:5">
      <c r="A69" t="s">
        <v>83</v>
      </c>
      <c r="B69" t="s">
        <v>122</v>
      </c>
      <c r="C69" t="s">
        <v>57</v>
      </c>
      <c r="D69" s="45">
        <v>15.0630885324661</v>
      </c>
      <c r="E69" t="s">
        <v>118</v>
      </c>
    </row>
    <row r="70" spans="1:5">
      <c r="A70" t="s">
        <v>83</v>
      </c>
      <c r="B70" t="s">
        <v>123</v>
      </c>
      <c r="C70" t="s">
        <v>57</v>
      </c>
      <c r="D70" s="45">
        <v>1.2116038473931099</v>
      </c>
      <c r="E70" t="s">
        <v>118</v>
      </c>
    </row>
    <row r="71" spans="1:5">
      <c r="A71" t="s">
        <v>83</v>
      </c>
      <c r="B71" t="s">
        <v>124</v>
      </c>
      <c r="C71" t="s">
        <v>57</v>
      </c>
      <c r="D71" s="45">
        <v>13.6697605423279</v>
      </c>
      <c r="E71" t="s">
        <v>118</v>
      </c>
    </row>
    <row r="72" spans="1:5">
      <c r="A72" t="s">
        <v>83</v>
      </c>
      <c r="B72" t="s">
        <v>125</v>
      </c>
      <c r="C72" t="s">
        <v>57</v>
      </c>
      <c r="D72" s="45">
        <v>0.16810290082478899</v>
      </c>
      <c r="E72" t="s">
        <v>118</v>
      </c>
    </row>
    <row r="73" spans="1:5">
      <c r="A73" t="s">
        <v>83</v>
      </c>
      <c r="B73" t="s">
        <v>126</v>
      </c>
      <c r="C73" t="s">
        <v>57</v>
      </c>
      <c r="D73" s="45">
        <v>1.36212419202935E-2</v>
      </c>
      <c r="E73" t="s">
        <v>118</v>
      </c>
    </row>
    <row r="74" spans="1:5">
      <c r="A74" t="s">
        <v>81</v>
      </c>
      <c r="B74" t="s">
        <v>92</v>
      </c>
      <c r="C74" t="s">
        <v>57</v>
      </c>
      <c r="D74" s="45">
        <v>0.1220454545454546</v>
      </c>
      <c r="E74" t="s">
        <v>112</v>
      </c>
    </row>
    <row r="75" spans="1:5">
      <c r="A75" t="s">
        <v>81</v>
      </c>
      <c r="B75" t="s">
        <v>119</v>
      </c>
      <c r="C75" t="s">
        <v>57</v>
      </c>
      <c r="D75" s="45">
        <v>5.25</v>
      </c>
      <c r="E75" t="s">
        <v>120</v>
      </c>
    </row>
    <row r="76" spans="1:5">
      <c r="A76" t="s">
        <v>81</v>
      </c>
      <c r="B76" t="s">
        <v>121</v>
      </c>
      <c r="C76" t="s">
        <v>57</v>
      </c>
      <c r="D76" s="45">
        <v>1.1590909090909091E-3</v>
      </c>
      <c r="E76" t="s">
        <v>113</v>
      </c>
    </row>
    <row r="77" spans="1:5">
      <c r="A77" t="s">
        <v>81</v>
      </c>
      <c r="B77" t="s">
        <v>122</v>
      </c>
      <c r="C77" t="s">
        <v>57</v>
      </c>
      <c r="D77" s="45">
        <v>2.1482519960937392</v>
      </c>
      <c r="E77" t="s">
        <v>118</v>
      </c>
    </row>
    <row r="78" spans="1:5">
      <c r="A78" t="s">
        <v>81</v>
      </c>
      <c r="B78" t="s">
        <v>123</v>
      </c>
      <c r="C78" t="s">
        <v>57</v>
      </c>
      <c r="D78" s="45">
        <v>1.8958854543708091E-9</v>
      </c>
      <c r="E78" t="s">
        <v>118</v>
      </c>
    </row>
    <row r="79" spans="1:5">
      <c r="A79" t="s">
        <v>81</v>
      </c>
      <c r="B79" t="s">
        <v>124</v>
      </c>
      <c r="C79" t="s">
        <v>57</v>
      </c>
      <c r="D79" s="45">
        <v>5.0452797984480898E-8</v>
      </c>
      <c r="E79" t="s">
        <v>118</v>
      </c>
    </row>
    <row r="80" spans="1:5">
      <c r="A80" t="s">
        <v>81</v>
      </c>
      <c r="B80" t="s">
        <v>125</v>
      </c>
      <c r="C80" t="s">
        <v>57</v>
      </c>
      <c r="D80" s="45">
        <v>2.941213966249227E-2</v>
      </c>
      <c r="E80" t="s">
        <v>118</v>
      </c>
    </row>
    <row r="81" spans="1:5">
      <c r="A81" t="s">
        <v>81</v>
      </c>
      <c r="B81" t="s">
        <v>126</v>
      </c>
      <c r="C81" t="s">
        <v>57</v>
      </c>
      <c r="D81" s="45">
        <v>2.1188398040825609</v>
      </c>
      <c r="E81" t="s">
        <v>118</v>
      </c>
    </row>
    <row r="82" spans="1:5">
      <c r="A82" t="s">
        <v>82</v>
      </c>
      <c r="B82" t="s">
        <v>92</v>
      </c>
      <c r="C82" t="s">
        <v>57</v>
      </c>
      <c r="D82" s="45">
        <v>2.7</v>
      </c>
      <c r="E82" t="s">
        <v>112</v>
      </c>
    </row>
    <row r="83" spans="1:5">
      <c r="A83" t="s">
        <v>82</v>
      </c>
      <c r="B83" t="s">
        <v>119</v>
      </c>
      <c r="C83" t="s">
        <v>57</v>
      </c>
      <c r="D83" s="45">
        <v>0.22700000000000001</v>
      </c>
      <c r="E83" t="s">
        <v>120</v>
      </c>
    </row>
    <row r="84" spans="1:5">
      <c r="A84" t="s">
        <v>82</v>
      </c>
      <c r="B84" t="s">
        <v>121</v>
      </c>
      <c r="C84" t="s">
        <v>57</v>
      </c>
      <c r="D84" s="45">
        <v>8.5000000000000006E-2</v>
      </c>
      <c r="E84" t="s">
        <v>113</v>
      </c>
    </row>
    <row r="85" spans="1:5">
      <c r="A85" t="s">
        <v>82</v>
      </c>
      <c r="B85" t="s">
        <v>122</v>
      </c>
      <c r="C85" t="s">
        <v>57</v>
      </c>
      <c r="D85" s="45">
        <v>19.528911954654401</v>
      </c>
      <c r="E85" t="s">
        <v>118</v>
      </c>
    </row>
    <row r="86" spans="1:5">
      <c r="A86" t="s">
        <v>82</v>
      </c>
      <c r="B86" t="s">
        <v>123</v>
      </c>
      <c r="C86" t="s">
        <v>57</v>
      </c>
      <c r="D86" s="45">
        <v>0.108035549736732</v>
      </c>
      <c r="E86" t="s">
        <v>118</v>
      </c>
    </row>
    <row r="87" spans="1:5">
      <c r="A87" t="s">
        <v>82</v>
      </c>
      <c r="B87" t="s">
        <v>124</v>
      </c>
      <c r="C87" t="s">
        <v>57</v>
      </c>
      <c r="D87" s="45">
        <v>19.338510829997102</v>
      </c>
      <c r="E87" t="s">
        <v>118</v>
      </c>
    </row>
    <row r="88" spans="1:5">
      <c r="A88" t="s">
        <v>82</v>
      </c>
      <c r="B88" t="s">
        <v>125</v>
      </c>
      <c r="C88" t="s">
        <v>57</v>
      </c>
      <c r="D88" s="45">
        <v>8.1721706706034902E-2</v>
      </c>
      <c r="E88" t="s">
        <v>118</v>
      </c>
    </row>
    <row r="89" spans="1:5">
      <c r="A89" t="s">
        <v>82</v>
      </c>
      <c r="B89" t="s">
        <v>126</v>
      </c>
      <c r="C89" t="s">
        <v>57</v>
      </c>
      <c r="D89" s="45">
        <v>6.4386821458457496E-4</v>
      </c>
      <c r="E89" t="s">
        <v>118</v>
      </c>
    </row>
    <row r="90" spans="1:5">
      <c r="A90" t="s">
        <v>80</v>
      </c>
      <c r="B90" t="s">
        <v>92</v>
      </c>
      <c r="C90" t="s">
        <v>57</v>
      </c>
      <c r="D90" s="45">
        <v>2.323</v>
      </c>
      <c r="E90" t="s">
        <v>112</v>
      </c>
    </row>
    <row r="91" spans="1:5">
      <c r="A91" t="s">
        <v>80</v>
      </c>
      <c r="B91" t="s">
        <v>119</v>
      </c>
      <c r="C91" t="s">
        <v>57</v>
      </c>
      <c r="D91" s="45">
        <v>4.2999999999999997E-2</v>
      </c>
      <c r="E91" t="s">
        <v>120</v>
      </c>
    </row>
    <row r="92" spans="1:5">
      <c r="A92" t="s">
        <v>80</v>
      </c>
      <c r="B92" t="s">
        <v>121</v>
      </c>
      <c r="C92" t="s">
        <v>57</v>
      </c>
      <c r="D92" s="45">
        <v>4.6300000000000001E-2</v>
      </c>
      <c r="E92" t="s">
        <v>113</v>
      </c>
    </row>
    <row r="93" spans="1:5">
      <c r="A93" t="s">
        <v>80</v>
      </c>
      <c r="B93" t="s">
        <v>122</v>
      </c>
      <c r="C93" t="s">
        <v>57</v>
      </c>
      <c r="D93" s="45">
        <v>1.3344755494868099</v>
      </c>
      <c r="E93" t="s">
        <v>118</v>
      </c>
    </row>
    <row r="94" spans="1:5">
      <c r="A94" t="s">
        <v>80</v>
      </c>
      <c r="B94" t="s">
        <v>123</v>
      </c>
      <c r="C94" t="s">
        <v>57</v>
      </c>
      <c r="D94" s="45">
        <v>1.3235460974284099</v>
      </c>
      <c r="E94" t="s">
        <v>118</v>
      </c>
    </row>
    <row r="95" spans="1:5">
      <c r="A95" t="s">
        <v>80</v>
      </c>
      <c r="B95" t="s">
        <v>124</v>
      </c>
      <c r="C95" t="s">
        <v>57</v>
      </c>
      <c r="D95" s="45">
        <v>3.0698841115219702E-3</v>
      </c>
      <c r="E95" t="s">
        <v>118</v>
      </c>
    </row>
    <row r="96" spans="1:5">
      <c r="A96" t="s">
        <v>80</v>
      </c>
      <c r="B96" t="s">
        <v>125</v>
      </c>
      <c r="C96" t="s">
        <v>57</v>
      </c>
      <c r="D96" s="45">
        <v>8.3948581769940998E-4</v>
      </c>
      <c r="E96" t="s">
        <v>118</v>
      </c>
    </row>
    <row r="97" spans="1:6">
      <c r="A97" t="s">
        <v>80</v>
      </c>
      <c r="B97" t="s">
        <v>126</v>
      </c>
      <c r="C97" t="s">
        <v>57</v>
      </c>
      <c r="D97" s="45">
        <v>7.0200821291776802E-3</v>
      </c>
      <c r="E97" t="s">
        <v>118</v>
      </c>
    </row>
    <row r="98" spans="1:6">
      <c r="A98" t="s">
        <v>97</v>
      </c>
      <c r="B98" t="s">
        <v>92</v>
      </c>
      <c r="C98" t="s">
        <v>57</v>
      </c>
      <c r="D98" s="45">
        <v>0.97</v>
      </c>
      <c r="E98" t="s">
        <v>112</v>
      </c>
    </row>
    <row r="99" spans="1:6">
      <c r="A99" t="s">
        <v>97</v>
      </c>
      <c r="B99" t="s">
        <v>119</v>
      </c>
      <c r="C99" t="s">
        <v>57</v>
      </c>
      <c r="D99" s="45">
        <v>6.0999999999999999E-2</v>
      </c>
      <c r="E99" t="s">
        <v>120</v>
      </c>
    </row>
    <row r="100" spans="1:6">
      <c r="A100" t="s">
        <v>97</v>
      </c>
      <c r="B100" t="s">
        <v>121</v>
      </c>
      <c r="C100" t="s">
        <v>57</v>
      </c>
      <c r="D100" s="45">
        <v>5.7999999999999996E-3</v>
      </c>
      <c r="E100" t="s">
        <v>113</v>
      </c>
    </row>
    <row r="101" spans="1:6">
      <c r="A101" t="s">
        <v>97</v>
      </c>
      <c r="B101" t="s">
        <v>122</v>
      </c>
      <c r="C101" t="s">
        <v>57</v>
      </c>
      <c r="D101" s="45">
        <v>1.6524450073365899</v>
      </c>
      <c r="E101" t="s">
        <v>118</v>
      </c>
    </row>
    <row r="102" spans="1:6">
      <c r="A102" t="s">
        <v>97</v>
      </c>
      <c r="B102" t="s">
        <v>123</v>
      </c>
      <c r="C102" t="s">
        <v>57</v>
      </c>
      <c r="D102" s="45">
        <v>0.270528124201664</v>
      </c>
      <c r="E102" t="s">
        <v>118</v>
      </c>
    </row>
    <row r="103" spans="1:6">
      <c r="A103" t="s">
        <v>97</v>
      </c>
      <c r="B103" t="s">
        <v>124</v>
      </c>
      <c r="C103" t="s">
        <v>57</v>
      </c>
      <c r="D103" s="45">
        <v>9.3764128123405094E-2</v>
      </c>
      <c r="E103" t="s">
        <v>118</v>
      </c>
    </row>
    <row r="104" spans="1:6">
      <c r="A104" t="s">
        <v>97</v>
      </c>
      <c r="B104" t="s">
        <v>125</v>
      </c>
      <c r="C104" t="s">
        <v>57</v>
      </c>
      <c r="D104" s="45">
        <v>1.27224698657605</v>
      </c>
      <c r="E104" t="s">
        <v>118</v>
      </c>
    </row>
    <row r="105" spans="1:6">
      <c r="A105" t="s">
        <v>97</v>
      </c>
      <c r="B105" t="s">
        <v>126</v>
      </c>
      <c r="C105" t="s">
        <v>57</v>
      </c>
      <c r="D105" s="45">
        <v>1.59057684354743E-2</v>
      </c>
      <c r="E105" t="s">
        <v>118</v>
      </c>
    </row>
    <row r="106" spans="1:6">
      <c r="A106" s="51" t="s">
        <v>98</v>
      </c>
      <c r="B106" s="51" t="s">
        <v>92</v>
      </c>
      <c r="C106" s="51" t="s">
        <v>57</v>
      </c>
      <c r="D106" s="51">
        <v>1.1299999999999999</v>
      </c>
      <c r="E106" s="51" t="s">
        <v>112</v>
      </c>
      <c r="F106" t="s">
        <v>171</v>
      </c>
    </row>
    <row r="107" spans="1:6">
      <c r="A107" t="s">
        <v>98</v>
      </c>
      <c r="B107" t="s">
        <v>119</v>
      </c>
      <c r="C107" t="s">
        <v>57</v>
      </c>
      <c r="D107" s="45">
        <v>7.6999999999999999E-2</v>
      </c>
      <c r="E107" t="s">
        <v>120</v>
      </c>
    </row>
    <row r="108" spans="1:6">
      <c r="A108" t="s">
        <v>98</v>
      </c>
      <c r="B108" t="s">
        <v>121</v>
      </c>
      <c r="C108" t="s">
        <v>57</v>
      </c>
      <c r="D108" s="45">
        <v>7.2999999999999995E-2</v>
      </c>
      <c r="E108" t="s">
        <v>113</v>
      </c>
    </row>
    <row r="109" spans="1:6">
      <c r="A109" t="s">
        <v>98</v>
      </c>
      <c r="B109" t="s">
        <v>122</v>
      </c>
      <c r="C109" t="s">
        <v>57</v>
      </c>
      <c r="D109" s="45">
        <v>2.0173824646282399</v>
      </c>
      <c r="E109" t="s">
        <v>118</v>
      </c>
    </row>
    <row r="110" spans="1:6">
      <c r="A110" t="s">
        <v>98</v>
      </c>
      <c r="B110" t="s">
        <v>123</v>
      </c>
      <c r="C110" t="s">
        <v>57</v>
      </c>
      <c r="D110" s="45">
        <v>1.99196493288</v>
      </c>
      <c r="E110" t="s">
        <v>118</v>
      </c>
    </row>
    <row r="111" spans="1:6">
      <c r="A111" t="s">
        <v>98</v>
      </c>
      <c r="B111" t="s">
        <v>124</v>
      </c>
      <c r="C111" t="s">
        <v>57</v>
      </c>
      <c r="D111" s="45">
        <v>8.2323710434467207E-3</v>
      </c>
      <c r="E111" t="s">
        <v>118</v>
      </c>
    </row>
    <row r="112" spans="1:6">
      <c r="A112" t="s">
        <v>98</v>
      </c>
      <c r="B112" t="s">
        <v>125</v>
      </c>
      <c r="C112" t="s">
        <v>57</v>
      </c>
      <c r="D112" s="45">
        <v>3.72810690718433E-3</v>
      </c>
      <c r="E112" t="s">
        <v>118</v>
      </c>
    </row>
    <row r="113" spans="1:5">
      <c r="A113" t="s">
        <v>98</v>
      </c>
      <c r="B113" t="s">
        <v>126</v>
      </c>
      <c r="C113" t="s">
        <v>57</v>
      </c>
      <c r="D113" s="45">
        <v>1.3457053797606399E-2</v>
      </c>
      <c r="E113" t="s">
        <v>118</v>
      </c>
    </row>
    <row r="114" spans="1:5">
      <c r="A114" t="s">
        <v>99</v>
      </c>
      <c r="B114" t="s">
        <v>92</v>
      </c>
      <c r="C114" t="s">
        <v>57</v>
      </c>
      <c r="D114" s="45">
        <v>0.73599999999999999</v>
      </c>
      <c r="E114" t="s">
        <v>112</v>
      </c>
    </row>
    <row r="115" spans="1:5">
      <c r="A115" t="s">
        <v>99</v>
      </c>
      <c r="B115" t="s">
        <v>119</v>
      </c>
      <c r="C115" t="s">
        <v>57</v>
      </c>
      <c r="D115" s="45">
        <v>3.52</v>
      </c>
      <c r="E115" t="s">
        <v>120</v>
      </c>
    </row>
    <row r="116" spans="1:5">
      <c r="A116" t="s">
        <v>99</v>
      </c>
      <c r="B116" t="s">
        <v>121</v>
      </c>
      <c r="C116" t="s">
        <v>57</v>
      </c>
      <c r="D116" s="45">
        <v>8.0000000000000002E-3</v>
      </c>
      <c r="E116" t="s">
        <v>113</v>
      </c>
    </row>
    <row r="117" spans="1:5">
      <c r="A117" t="s">
        <v>99</v>
      </c>
      <c r="B117" t="s">
        <v>122</v>
      </c>
      <c r="C117" t="s">
        <v>57</v>
      </c>
      <c r="D117" s="45">
        <v>1.74424339145936</v>
      </c>
      <c r="E117" t="s">
        <v>118</v>
      </c>
    </row>
    <row r="118" spans="1:5">
      <c r="A118" t="s">
        <v>99</v>
      </c>
      <c r="B118" t="s">
        <v>123</v>
      </c>
      <c r="C118" t="s">
        <v>57</v>
      </c>
      <c r="D118" s="45">
        <v>0.21584653953368599</v>
      </c>
      <c r="E118" t="s">
        <v>118</v>
      </c>
    </row>
    <row r="119" spans="1:5">
      <c r="A119" t="s">
        <v>99</v>
      </c>
      <c r="B119" t="s">
        <v>124</v>
      </c>
      <c r="C119" t="s">
        <v>57</v>
      </c>
      <c r="D119" s="45">
        <v>2.5716193667144199E-2</v>
      </c>
      <c r="E119" t="s">
        <v>118</v>
      </c>
    </row>
    <row r="120" spans="1:5">
      <c r="A120" t="s">
        <v>99</v>
      </c>
      <c r="B120" t="s">
        <v>125</v>
      </c>
      <c r="C120" t="s">
        <v>57</v>
      </c>
      <c r="D120" s="45">
        <v>0.16409803479439</v>
      </c>
      <c r="E120" t="s">
        <v>118</v>
      </c>
    </row>
    <row r="121" spans="1:5">
      <c r="A121" t="s">
        <v>99</v>
      </c>
      <c r="B121" t="s">
        <v>126</v>
      </c>
      <c r="C121" t="s">
        <v>57</v>
      </c>
      <c r="D121" s="45">
        <v>1.33858262346414</v>
      </c>
      <c r="E121" t="s">
        <v>118</v>
      </c>
    </row>
    <row r="122" spans="1:5">
      <c r="A122" t="s">
        <v>152</v>
      </c>
      <c r="B122" t="s">
        <v>92</v>
      </c>
      <c r="C122" t="s">
        <v>57</v>
      </c>
      <c r="D122" s="48">
        <v>0.24</v>
      </c>
      <c r="E122" t="s">
        <v>112</v>
      </c>
    </row>
    <row r="123" spans="1:5">
      <c r="A123" t="s">
        <v>152</v>
      </c>
      <c r="B123" t="s">
        <v>119</v>
      </c>
      <c r="C123" t="s">
        <v>57</v>
      </c>
      <c r="D123" s="48">
        <v>1.0999999999999999E-2</v>
      </c>
      <c r="E123" t="s">
        <v>120</v>
      </c>
    </row>
    <row r="124" spans="1:5">
      <c r="A124" t="s">
        <v>152</v>
      </c>
      <c r="B124" t="s">
        <v>121</v>
      </c>
      <c r="C124" t="s">
        <v>57</v>
      </c>
      <c r="D124" s="48">
        <v>6.0000000000000001E-3</v>
      </c>
      <c r="E124" t="s">
        <v>113</v>
      </c>
    </row>
    <row r="125" spans="1:5">
      <c r="A125" t="s">
        <v>152</v>
      </c>
      <c r="B125" t="s">
        <v>122</v>
      </c>
      <c r="C125" t="s">
        <v>57</v>
      </c>
      <c r="D125" s="48">
        <v>1.51</v>
      </c>
      <c r="E125" t="s">
        <v>118</v>
      </c>
    </row>
    <row r="126" spans="1:5">
      <c r="A126" t="s">
        <v>152</v>
      </c>
      <c r="B126" t="s">
        <v>123</v>
      </c>
      <c r="C126" t="s">
        <v>57</v>
      </c>
      <c r="D126" s="48">
        <v>6.3E-2</v>
      </c>
      <c r="E126" t="s">
        <v>118</v>
      </c>
    </row>
    <row r="127" spans="1:5">
      <c r="A127" t="s">
        <v>152</v>
      </c>
      <c r="B127" t="s">
        <v>124</v>
      </c>
      <c r="C127" t="s">
        <v>57</v>
      </c>
      <c r="D127" s="48">
        <v>2.4299999999999999E-2</v>
      </c>
      <c r="E127" t="s">
        <v>118</v>
      </c>
    </row>
    <row r="128" spans="1:5">
      <c r="A128" t="s">
        <v>152</v>
      </c>
      <c r="B128" t="s">
        <v>125</v>
      </c>
      <c r="C128" t="s">
        <v>57</v>
      </c>
      <c r="D128" s="48">
        <v>1.42</v>
      </c>
      <c r="E128" t="s">
        <v>118</v>
      </c>
    </row>
    <row r="129" spans="1:6">
      <c r="A129" t="s">
        <v>152</v>
      </c>
      <c r="B129" t="s">
        <v>126</v>
      </c>
      <c r="C129" t="s">
        <v>57</v>
      </c>
      <c r="D129" s="48">
        <v>4.0000000000000001E-3</v>
      </c>
      <c r="E129" t="s">
        <v>118</v>
      </c>
    </row>
    <row r="130" spans="1:6">
      <c r="A130" s="51" t="s">
        <v>153</v>
      </c>
      <c r="B130" s="51" t="s">
        <v>92</v>
      </c>
      <c r="C130" s="51" t="s">
        <v>57</v>
      </c>
      <c r="D130" s="51">
        <v>0.216</v>
      </c>
      <c r="E130" s="51" t="s">
        <v>112</v>
      </c>
      <c r="F130" s="51" t="s">
        <v>166</v>
      </c>
    </row>
  </sheetData>
  <autoFilter ref="A1:D46" xr:uid="{00000000-0009-0000-0000-000001000000}"/>
  <pageMargins left="0.7" right="0.7" top="0.78740157499999996" bottom="0.78740157499999996"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29"/>
  <sheetViews>
    <sheetView tabSelected="1" workbookViewId="0">
      <selection activeCell="I29" sqref="I29"/>
    </sheetView>
  </sheetViews>
  <sheetFormatPr defaultColWidth="11.5703125" defaultRowHeight="15"/>
  <cols>
    <col min="1" max="1" width="4.42578125" customWidth="1"/>
    <col min="2" max="2" width="12.85546875" bestFit="1" customWidth="1"/>
    <col min="7" max="7" width="33.140625" bestFit="1" customWidth="1"/>
    <col min="9" max="9" width="65.140625" customWidth="1"/>
  </cols>
  <sheetData>
    <row r="2" spans="2:14" ht="45">
      <c r="B2" s="24" t="s">
        <v>100</v>
      </c>
      <c r="C2" s="25" t="s">
        <v>101</v>
      </c>
      <c r="D2" s="26" t="s">
        <v>102</v>
      </c>
      <c r="E2" s="26" t="s">
        <v>103</v>
      </c>
      <c r="F2" s="25" t="s">
        <v>62</v>
      </c>
      <c r="G2" s="25" t="s">
        <v>104</v>
      </c>
      <c r="H2" s="25" t="s">
        <v>63</v>
      </c>
      <c r="I2" s="25" t="s">
        <v>105</v>
      </c>
      <c r="J2" s="25" t="s">
        <v>106</v>
      </c>
      <c r="K2" s="27" t="s">
        <v>107</v>
      </c>
      <c r="L2" s="28"/>
      <c r="M2" s="28"/>
      <c r="N2" s="28"/>
    </row>
    <row r="3" spans="2:14">
      <c r="B3" s="33" t="s">
        <v>108</v>
      </c>
      <c r="C3" s="34">
        <v>44974</v>
      </c>
      <c r="D3" s="35" t="s">
        <v>12</v>
      </c>
      <c r="E3" s="36" t="s">
        <v>89</v>
      </c>
      <c r="F3" s="35" t="s">
        <v>12</v>
      </c>
      <c r="G3" s="37" t="s">
        <v>96</v>
      </c>
      <c r="H3" s="35" t="s">
        <v>109</v>
      </c>
      <c r="I3" s="29" t="s">
        <v>110</v>
      </c>
      <c r="J3">
        <v>0</v>
      </c>
    </row>
    <row r="4" spans="2:14">
      <c r="D4" s="30"/>
      <c r="I4" t="s">
        <v>111</v>
      </c>
      <c r="J4" s="31">
        <v>2</v>
      </c>
      <c r="K4" t="s">
        <v>140</v>
      </c>
    </row>
    <row r="5" spans="2:14">
      <c r="C5" s="16"/>
      <c r="D5" s="30"/>
      <c r="E5" s="30"/>
      <c r="F5" s="32"/>
      <c r="G5" s="11"/>
      <c r="I5" s="40" t="s">
        <v>127</v>
      </c>
    </row>
    <row r="6" spans="2:14">
      <c r="C6" s="16"/>
      <c r="D6" s="30"/>
      <c r="E6" s="30"/>
      <c r="F6" s="32"/>
      <c r="G6" s="11"/>
    </row>
    <row r="7" spans="2:14">
      <c r="C7" s="16"/>
      <c r="D7" s="17"/>
      <c r="E7" s="17"/>
      <c r="F7" s="11"/>
      <c r="G7" s="11"/>
      <c r="I7" s="29" t="s">
        <v>129</v>
      </c>
    </row>
    <row r="8" spans="2:14">
      <c r="I8" t="s">
        <v>130</v>
      </c>
    </row>
    <row r="9" spans="2:14">
      <c r="C9" s="16"/>
      <c r="D9" s="17"/>
      <c r="E9" s="17"/>
      <c r="F9" s="11"/>
      <c r="G9" s="11"/>
      <c r="I9" t="s">
        <v>131</v>
      </c>
    </row>
    <row r="10" spans="2:14">
      <c r="I10" t="s">
        <v>132</v>
      </c>
    </row>
    <row r="12" spans="2:14">
      <c r="B12" s="43" t="s">
        <v>136</v>
      </c>
      <c r="C12" s="44">
        <v>45096</v>
      </c>
      <c r="D12" s="46" t="s">
        <v>89</v>
      </c>
      <c r="E12" s="46" t="s">
        <v>138</v>
      </c>
      <c r="F12" s="47" t="s">
        <v>96</v>
      </c>
      <c r="G12" s="47" t="s">
        <v>141</v>
      </c>
      <c r="H12" s="45" t="s">
        <v>137</v>
      </c>
      <c r="I12" t="s">
        <v>142</v>
      </c>
      <c r="J12">
        <v>2</v>
      </c>
      <c r="K12" t="s">
        <v>139</v>
      </c>
    </row>
    <row r="13" spans="2:14">
      <c r="I13" t="s">
        <v>143</v>
      </c>
    </row>
    <row r="14" spans="2:14">
      <c r="I14" t="s">
        <v>144</v>
      </c>
    </row>
    <row r="15" spans="2:14">
      <c r="I15" t="s">
        <v>145</v>
      </c>
    </row>
    <row r="16" spans="2:14">
      <c r="I16" t="s">
        <v>146</v>
      </c>
    </row>
    <row r="18" spans="2:12">
      <c r="B18" s="48" t="s">
        <v>148</v>
      </c>
      <c r="C18" s="49">
        <v>45219</v>
      </c>
      <c r="D18" s="48" t="s">
        <v>138</v>
      </c>
      <c r="E18" s="48" t="s">
        <v>147</v>
      </c>
      <c r="F18" s="50" t="s">
        <v>141</v>
      </c>
      <c r="G18" s="50" t="s">
        <v>151</v>
      </c>
      <c r="H18" s="48" t="s">
        <v>137</v>
      </c>
      <c r="I18" t="s">
        <v>149</v>
      </c>
      <c r="J18">
        <v>2</v>
      </c>
      <c r="K18" t="s">
        <v>150</v>
      </c>
    </row>
    <row r="20" spans="2:12">
      <c r="B20" s="51" t="s">
        <v>154</v>
      </c>
      <c r="C20" s="55">
        <v>45617</v>
      </c>
      <c r="D20" s="51" t="s">
        <v>147</v>
      </c>
      <c r="E20" s="51" t="s">
        <v>155</v>
      </c>
      <c r="F20" s="56" t="s">
        <v>151</v>
      </c>
      <c r="G20" s="57" t="s">
        <v>156</v>
      </c>
      <c r="H20" s="51" t="s">
        <v>157</v>
      </c>
      <c r="I20" t="s">
        <v>158</v>
      </c>
      <c r="K20" t="s">
        <v>160</v>
      </c>
    </row>
    <row r="21" spans="2:12">
      <c r="I21" t="s">
        <v>159</v>
      </c>
      <c r="K21" t="s">
        <v>161</v>
      </c>
    </row>
    <row r="22" spans="2:12">
      <c r="I22" t="s">
        <v>172</v>
      </c>
    </row>
    <row r="24" spans="2:12">
      <c r="I24" t="s">
        <v>173</v>
      </c>
    </row>
    <row r="25" spans="2:12">
      <c r="I25">
        <v>4.1000000000000003E-3</v>
      </c>
      <c r="J25" t="s">
        <v>177</v>
      </c>
      <c r="K25">
        <f>I25*0.95</f>
        <v>3.895E-3</v>
      </c>
      <c r="L25" t="s">
        <v>174</v>
      </c>
    </row>
    <row r="26" spans="2:12">
      <c r="I26">
        <v>0.216</v>
      </c>
      <c r="J26" t="s">
        <v>178</v>
      </c>
      <c r="K26">
        <f>I26*0.05</f>
        <v>1.0800000000000001E-2</v>
      </c>
      <c r="L26" t="s">
        <v>175</v>
      </c>
    </row>
    <row r="27" spans="2:12">
      <c r="K27">
        <f>SUM(K25:K26)</f>
        <v>1.4695E-2</v>
      </c>
      <c r="L27" t="s">
        <v>176</v>
      </c>
    </row>
    <row r="28" spans="2:12">
      <c r="I28" t="s">
        <v>182</v>
      </c>
    </row>
    <row r="29" spans="2:12">
      <c r="I29" s="18" t="s">
        <v>179</v>
      </c>
      <c r="J29" t="s">
        <v>180</v>
      </c>
      <c r="K29">
        <f>(8.6+2.97+2.04)/1000</f>
        <v>1.3609999999999999E-2</v>
      </c>
      <c r="L29" t="s">
        <v>181</v>
      </c>
    </row>
  </sheetData>
  <hyperlinks>
    <hyperlink ref="I29" r:id="rId1" xr:uid="{FBEE4DBA-EA4F-4A59-B417-0752EC12BA06}"/>
  </hyperlinks>
  <pageMargins left="0.7" right="0.7" top="0.78740157499999996" bottom="0.78740157499999996"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9"/>
  <sheetViews>
    <sheetView workbookViewId="0">
      <selection activeCell="Q7" sqref="Q7"/>
    </sheetView>
  </sheetViews>
  <sheetFormatPr defaultColWidth="11.5703125" defaultRowHeight="15"/>
  <cols>
    <col min="2" max="2" width="19.85546875" bestFit="1" customWidth="1"/>
  </cols>
  <sheetData>
    <row r="2" spans="2:17">
      <c r="B2" s="15" t="s">
        <v>64</v>
      </c>
      <c r="C2" s="15" t="s">
        <v>65</v>
      </c>
      <c r="D2" s="15" t="s">
        <v>66</v>
      </c>
      <c r="E2" s="19" t="s">
        <v>87</v>
      </c>
      <c r="F2" s="19" t="s">
        <v>88</v>
      </c>
      <c r="G2" s="15" t="s">
        <v>67</v>
      </c>
      <c r="H2" s="15" t="s">
        <v>68</v>
      </c>
      <c r="I2" s="15" t="s">
        <v>69</v>
      </c>
      <c r="J2" s="15" t="s">
        <v>70</v>
      </c>
      <c r="K2" s="15" t="s">
        <v>71</v>
      </c>
      <c r="L2" s="15" t="s">
        <v>72</v>
      </c>
      <c r="M2" s="15" t="s">
        <v>134</v>
      </c>
      <c r="N2" s="15" t="s">
        <v>73</v>
      </c>
      <c r="O2" s="15" t="s">
        <v>74</v>
      </c>
      <c r="P2" s="15" t="s">
        <v>75</v>
      </c>
    </row>
    <row r="3" spans="2:17">
      <c r="B3" s="22" t="s">
        <v>94</v>
      </c>
      <c r="C3">
        <v>1</v>
      </c>
      <c r="E3" t="s">
        <v>115</v>
      </c>
      <c r="M3" t="s">
        <v>128</v>
      </c>
    </row>
    <row r="4" spans="2:17">
      <c r="B4" s="22" t="s">
        <v>94</v>
      </c>
      <c r="C4">
        <v>2</v>
      </c>
      <c r="E4" t="s">
        <v>116</v>
      </c>
      <c r="M4" t="s">
        <v>128</v>
      </c>
    </row>
    <row r="5" spans="2:17">
      <c r="B5" s="22" t="s">
        <v>94</v>
      </c>
      <c r="C5">
        <v>3</v>
      </c>
      <c r="E5" t="s">
        <v>135</v>
      </c>
      <c r="M5" t="s">
        <v>128</v>
      </c>
    </row>
    <row r="6" spans="2:17">
      <c r="B6" s="22" t="s">
        <v>94</v>
      </c>
      <c r="C6">
        <v>4</v>
      </c>
      <c r="G6" t="s">
        <v>168</v>
      </c>
      <c r="H6" t="s">
        <v>169</v>
      </c>
      <c r="I6">
        <v>2021</v>
      </c>
      <c r="M6" s="18" t="s">
        <v>170</v>
      </c>
      <c r="P6" t="s">
        <v>167</v>
      </c>
    </row>
    <row r="7" spans="2:17">
      <c r="B7" s="22" t="s">
        <v>94</v>
      </c>
      <c r="C7">
        <v>5</v>
      </c>
      <c r="E7" s="18"/>
      <c r="G7" t="s">
        <v>162</v>
      </c>
      <c r="H7" t="s">
        <v>163</v>
      </c>
      <c r="I7">
        <v>2020</v>
      </c>
      <c r="L7" s="18" t="s">
        <v>164</v>
      </c>
      <c r="P7" t="s">
        <v>165</v>
      </c>
      <c r="Q7">
        <f>(0.72+1.54)/2</f>
        <v>1.1299999999999999</v>
      </c>
    </row>
    <row r="8" spans="2:17">
      <c r="B8" s="13"/>
      <c r="E8" s="18"/>
    </row>
    <row r="9" spans="2:17">
      <c r="B9" s="13"/>
    </row>
  </sheetData>
  <hyperlinks>
    <hyperlink ref="M6" r:id="rId1" xr:uid="{49011CBE-8534-4723-AA58-6724BD0C64E6}"/>
    <hyperlink ref="L7" r:id="rId2" xr:uid="{B9A5CB1B-10B3-46C1-9E7A-46847979C452}"/>
  </hyperlinks>
  <pageMargins left="0.7" right="0.7" top="0.78740157499999996" bottom="0.78740157499999996"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values</vt:lpstr>
      <vt:lpstr>log</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Tomer Fishman</dc:creator>
  <cp:lastModifiedBy>Lola Sylvie Annie Rousseau</cp:lastModifiedBy>
  <dcterms:created xsi:type="dcterms:W3CDTF">2019-04-02T19:28:05Z</dcterms:created>
  <dcterms:modified xsi:type="dcterms:W3CDTF">2024-11-21T15:48:20Z</dcterms:modified>
</cp:coreProperties>
</file>