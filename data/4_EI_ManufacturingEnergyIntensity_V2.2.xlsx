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45" windowHeight="9975"/>
  </bookViews>
  <sheets>
    <sheet name="Cover" sheetId="1" r:id="rId1"/>
    <sheet name="Values_Master" sheetId="2" r:id="rId2"/>
    <sheet name="log" sheetId="12" r:id="rId3"/>
    <sheet name="ref" sheetId="1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24" i="12" l="1"/>
  <c r="V23" i="12"/>
  <c r="V20" i="12"/>
  <c r="V19" i="12"/>
  <c r="V18" i="12"/>
  <c r="V17" i="12"/>
  <c r="V16" i="12"/>
  <c r="V15" i="12"/>
  <c r="V14" i="12"/>
</calcChain>
</file>

<file path=xl/sharedStrings.xml><?xml version="1.0" encoding="utf-8"?>
<sst xmlns="http://schemas.openxmlformats.org/spreadsheetml/2006/main" count="1333" uniqueCount="267">
  <si>
    <t>Date created</t>
  </si>
  <si>
    <t>Last modified</t>
  </si>
  <si>
    <t>Last modified by</t>
  </si>
  <si>
    <t>Pauliuk</t>
  </si>
  <si>
    <t>Format_Version</t>
  </si>
  <si>
    <t>Dataset_Name</t>
  </si>
  <si>
    <t>Dataset_Description</t>
  </si>
  <si>
    <t>Dataset_Unit</t>
  </si>
  <si>
    <t>Dataset_System_Location</t>
  </si>
  <si>
    <t>Dataset_ID</t>
  </si>
  <si>
    <t>Dataset_UUID</t>
  </si>
  <si>
    <t>Dataset_Version</t>
  </si>
  <si>
    <t>Dataset_Classification_version_number</t>
  </si>
  <si>
    <t>Dataset_RecordType</t>
  </si>
  <si>
    <t># Specify the version number of the formatting used for this file</t>
  </si>
  <si>
    <t># Name of dataset, short and descriptive</t>
  </si>
  <si>
    <t># Description of dataset</t>
  </si>
  <si>
    <t># Points to processes and flows in a general system definition, optional</t>
  </si>
  <si>
    <t># UUID of dataset, can be generated manually, for archiving and reference purposes</t>
  </si>
  <si>
    <t># Date when dataset was first obtained/created/released</t>
  </si>
  <si>
    <t># Date of last modification</t>
  </si>
  <si>
    <t># Name of researcher responsible for last modification</t>
  </si>
  <si>
    <t># Version number of dataset</t>
  </si>
  <si>
    <t># Version number of classifications used for this dataset</t>
  </si>
  <si>
    <t xml:space="preserve"> </t>
  </si>
  <si>
    <t># Two types are supported: list and table</t>
  </si>
  <si>
    <t>SSP_Regions_32</t>
  </si>
  <si>
    <t>none</t>
  </si>
  <si>
    <t>V0.2</t>
  </si>
  <si>
    <t>LIST</t>
  </si>
  <si>
    <t># ID of dataset, optional, establish link to IEDI</t>
  </si>
  <si>
    <t>Dataset_Uncertainty</t>
  </si>
  <si>
    <t>Dataset_Comment</t>
  </si>
  <si>
    <t># Unit of dataset, cf. UNITS sheet in classification master file, GLOBAL, LIST, or TABLE</t>
  </si>
  <si>
    <t># Comment, GLOBAL, LIST, or TABLE</t>
  </si>
  <si>
    <t># Uncertainty in form of stats_array string (http://stats-arrays.readthedocs.io/en/latest/), GLOBAL, LIST, or TABLE</t>
  </si>
  <si>
    <t>ODYM-RECC Parameter File</t>
  </si>
  <si>
    <t>Aspects_Meaning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</si>
  <si>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</si>
  <si>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</si>
  <si>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</si>
  <si>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DATA</t>
  </si>
  <si>
    <t>DATA_Info</t>
  </si>
  <si>
    <t># DATA_Info: Describe each data layer</t>
  </si>
  <si>
    <t>Comment on data proxy choice</t>
  </si>
  <si>
    <t>String describing uncertainty distribution (http://stats-arrays.readthedocs.io/en/latest/)</t>
  </si>
  <si>
    <t># Fields highlighted in grey are mandatory. Fields highlighted in blue are linked to other tables and databases. Order of fields and field naming is fixed, do not change!</t>
  </si>
  <si>
    <t>No_Rows</t>
  </si>
  <si>
    <t>[Empty on purpose]</t>
  </si>
  <si>
    <t>Aspects_classifications</t>
  </si>
  <si>
    <t>stats_array_string</t>
  </si>
  <si>
    <t>values</t>
  </si>
  <si>
    <t>unit</t>
  </si>
  <si>
    <t>comment</t>
  </si>
  <si>
    <t>value</t>
  </si>
  <si>
    <t>electricity</t>
  </si>
  <si>
    <t>natural gas</t>
  </si>
  <si>
    <t>process energy intensity, specific</t>
  </si>
  <si>
    <t>Unit of specific process energy intensity</t>
  </si>
  <si>
    <t>Time</t>
  </si>
  <si>
    <t>age-cohort of installation</t>
  </si>
  <si>
    <t>Energy_Carriers_m6</t>
  </si>
  <si>
    <t>energy carriers</t>
  </si>
  <si>
    <t>Manufacturing_i3</t>
  </si>
  <si>
    <t>manufacturing sector</t>
  </si>
  <si>
    <t>manufacturing of Internal Combustion Engine, gasoline (ICEG)</t>
  </si>
  <si>
    <t>manufacturing of Internal Combustion Engine, diesel (ICED)</t>
  </si>
  <si>
    <t>manufacturing of Hybrid Electric Vehicles (HEV)</t>
  </si>
  <si>
    <t>manufacturing of Plugin Hybrid Electric Vehicles (PHEV)</t>
  </si>
  <si>
    <t>manufacturing of Battery Electric Vehicles (BEV)</t>
  </si>
  <si>
    <t>manufacturing of Fuel Cell Vehicles (FCV)</t>
  </si>
  <si>
    <t>manufacturing of SFH_non-standard</t>
  </si>
  <si>
    <t>manufacturing of SFH_standard</t>
  </si>
  <si>
    <t>manufacturing of SFH_efficient</t>
  </si>
  <si>
    <t>manufacturing of SFH_ZEB</t>
  </si>
  <si>
    <t>manufacturing of MFH_non-standard</t>
  </si>
  <si>
    <t>manufacturing of MFH_standard</t>
  </si>
  <si>
    <t>manufacturing of MFH_efficient</t>
  </si>
  <si>
    <t>manufacturing of MFH_ZEB</t>
  </si>
  <si>
    <t>manufacturing of informal_non-standard</t>
  </si>
  <si>
    <t>diesel</t>
  </si>
  <si>
    <t>MJ/item</t>
  </si>
  <si>
    <t>MJ/m2</t>
  </si>
  <si>
    <t>4_EI_ManufacturingEnergyIntensity</t>
  </si>
  <si>
    <t>World</t>
  </si>
  <si>
    <t>use hybrid vehicle data as proxy</t>
  </si>
  <si>
    <t>gasoline</t>
  </si>
  <si>
    <t>V2.0</t>
  </si>
  <si>
    <t>99e36d2d-7197-4076-9c49-e1cf987477c3</t>
  </si>
  <si>
    <t>coal, hard coal</t>
  </si>
  <si>
    <t>V2.1</t>
  </si>
  <si>
    <t>RECC_Classifications_Master_V2.0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</si>
  <si>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</si>
  <si>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</si>
  <si>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</si>
  <si>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</si>
  <si>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</si>
  <si>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</si>
  <si>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</si>
  <si>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</si>
  <si>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</si>
  <si>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</si>
  <si>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</si>
  <si>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</si>
  <si>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</si>
  <si>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added log and ref sheets and completed the latter.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</si>
  <si>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</si>
  <si>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</si>
  <si>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</si>
  <si>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</si>
  <si>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</si>
  <si>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</si>
  <si>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</si>
  <si>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</si>
  <si>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</si>
  <si>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</si>
  <si>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</si>
  <si>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</si>
  <si>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</si>
  <si>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Ecoinvent v3.3.</t>
  </si>
  <si>
    <t>SSP_Regions_1</t>
  </si>
  <si>
    <t>SSP regions: World</t>
  </si>
  <si>
    <t>iedc_dataset_name (dataset ID of industrial ecology data commons (IEDC), replaces detailed description here, available under http://www.database.industrialecology.uni-freiburg.de/)</t>
  </si>
  <si>
    <t>10.1007/s11367-016-1087-8</t>
  </si>
  <si>
    <t xml:space="preserve">Wernet et al. </t>
  </si>
  <si>
    <t>iedc_dataset_version_number (dataset version number of industrial ecology data commons (IEDC))</t>
  </si>
  <si>
    <t>value compiled from ecoinvent v3.4 by Paula Vollmer in \RECC_Database\Raw_Data_Archive\Industry\4_EI_ManufacturingEnergyIntensity_ecoinvent_V1.0.xlsx</t>
  </si>
  <si>
    <t>GREET Default Key Assumptions for Vehicle Assembly</t>
  </si>
  <si>
    <t>https://greet.es.anl.gov/</t>
  </si>
  <si>
    <t>ref. [2]: value compiled from ecoinvent v3.4 by Paula Vollmer in \RECC_Database\Raw_Data_Archive\Industry\4_EI_ManufacturingEnergyIntensity_ecoinvent_V1.0.xlsx, sheet "EI_Cars_Calculations"</t>
  </si>
  <si>
    <t>use hybrid vehicle data as proxy, includes CED for battery production and assembly from ref. [3]</t>
  </si>
  <si>
    <t>ref. [2]: value compiled from ecoinvent v3.4 by Paula Vollmer in \RECC_Database\Raw_Data_Archive\Industry\4_EI_ManufacturingEnergyIntensity_ecoinvent_V1.0.xlsx, sheet "EI_Cars_Calculations", includes CED for battery production and assembly from ref. [3]</t>
  </si>
  <si>
    <t>ref. [2]: value compiled from ecoinvent v3.4 by Paula Vollmer in \RECC_Database\Raw_Data_Archive\Industry\4_EI_ManufacturingEnergyIntensity_ecoinvent_V1.0.xlsx, sheet "EI_Buildings_Final", value for single-family houses</t>
  </si>
  <si>
    <t>ref. [2]: value compiled from ecoinvent v3.4 by Paula Vollmer in \RECC_Database\Raw_Data_Archive\Industry\4_EI_ManufacturingEnergyIntensity_ecoinvent_V1.0.xlsx, sheet "EI_Buildings_Final", value for multi-storey houses</t>
  </si>
  <si>
    <t>V2.2</t>
  </si>
  <si>
    <t>54a8e373-bcef-4967-9590-6049061c48c7</t>
  </si>
  <si>
    <t>manufacturing of nonres_offices_non_standard</t>
  </si>
  <si>
    <t>manufacturing of nonres_offices_standard</t>
  </si>
  <si>
    <t>manufacturing of nonres_offices_efficient</t>
  </si>
  <si>
    <t>manufacturing of nonres_offices_ZEB</t>
  </si>
  <si>
    <t>manufacturing of nonres_commercial_non_standard</t>
  </si>
  <si>
    <t>manufacturing of nonres_commercial_standard</t>
  </si>
  <si>
    <t>manufacturing of nonres_commercial_efficient</t>
  </si>
  <si>
    <t>manufacturing of nonres_commercial_ZEB</t>
  </si>
  <si>
    <t>manufacturing of nonres_education_non_standard</t>
  </si>
  <si>
    <t>manufacturing of nonres_education_standard</t>
  </si>
  <si>
    <t>manufacturing of nonres_education_efficient</t>
  </si>
  <si>
    <t>manufacturing of nonres_education_ZEB</t>
  </si>
  <si>
    <t>manufacturing of nonres_health_non_standard</t>
  </si>
  <si>
    <t>manufacturing of nonres_health_standard</t>
  </si>
  <si>
    <t>manufacturing of nonres_health_efficient</t>
  </si>
  <si>
    <t>manufacturing of nonres_health_ZEB</t>
  </si>
  <si>
    <t>manufacturing of nonres_other_non_standard</t>
  </si>
  <si>
    <t>manufacturing of nonres_other_standard</t>
  </si>
  <si>
    <t>manufacturing of nonres_other_efficient</t>
  </si>
  <si>
    <t>manufacturing of nonres_other_ZEB</t>
  </si>
  <si>
    <t>ref. [2]: value compiled from ecoinvent v3.4 by Paula Vollmer in \RECC_Database\Raw_Data_Archive\Industry\4_EI_ManufacturingEnergyIntensity_ecoinvent_V1.0.xlsx, sheet "EI_Buildings_Final", value for multi-storey houses AS PROXY</t>
  </si>
  <si>
    <t>added nonres buildings with MFH data as proxy</t>
  </si>
  <si>
    <t>manufacturing of nonres_hotels_restaurants_non_standard</t>
  </si>
  <si>
    <t>manufacturing of nonres_hotels_restaurants_standard</t>
  </si>
  <si>
    <t>manufacturing of nonres_hotels_restaurants_efficient</t>
  </si>
  <si>
    <t>manufacturing of nonres_hotels_restaurants_ZEB</t>
  </si>
  <si>
    <t>manufacturing of solar photovoltaic power plant</t>
  </si>
  <si>
    <t>MJ/GW</t>
  </si>
  <si>
    <t xml:space="preserve">manufacturing of concentrating solar power plant (CSP) </t>
  </si>
  <si>
    <t xml:space="preserve">manufacturing of wind power plant onshore </t>
  </si>
  <si>
    <t>manufacturing of wind power plant offshore</t>
  </si>
  <si>
    <t>manufacturing of hydro power plant</t>
  </si>
  <si>
    <t xml:space="preserve">manufacturing of nuclear power plant </t>
  </si>
  <si>
    <t>manufacturing of coal power plant</t>
  </si>
  <si>
    <t>manufacturing of coal power plant without abatement measures</t>
  </si>
  <si>
    <t>manufacturing of bio powerplant</t>
  </si>
  <si>
    <t>manufacturing of oil power plant</t>
  </si>
  <si>
    <t>manufacturing of geothermal power plant</t>
  </si>
  <si>
    <t>manufacturing of IGCC power plant</t>
  </si>
  <si>
    <t>manufacturing of light oil combined cycle</t>
  </si>
  <si>
    <t>manufacturing of gas combined cycle power plant</t>
  </si>
  <si>
    <t>manufacturing of advanced coal power plant with CCS</t>
  </si>
  <si>
    <t>manufacturing of coal power plant with CCS</t>
  </si>
  <si>
    <t>manufacturing of biomass power plant with CCS</t>
  </si>
  <si>
    <t>manufacturing of gas combined cycle power plant with CCS</t>
  </si>
  <si>
    <t>manufacturing of Fan</t>
  </si>
  <si>
    <t>manufacturing of Air-cooler</t>
  </si>
  <si>
    <t>manufacturing of Air-conditioning</t>
  </si>
  <si>
    <t>manufacturing of Refridgerator</t>
  </si>
  <si>
    <t>manufacturing of Microwave</t>
  </si>
  <si>
    <t>manufacturing of Washing Machine</t>
  </si>
  <si>
    <t>manufacturing of Tumble dryer</t>
  </si>
  <si>
    <t>manufacturing of Dish washer</t>
  </si>
  <si>
    <t>manufacturing of Television</t>
  </si>
  <si>
    <t>manufacturing of VCR/DVD player</t>
  </si>
  <si>
    <t>manufacturing of PC &amp; Laptop computers</t>
  </si>
  <si>
    <t>manufacturing of Other small appliances</t>
  </si>
  <si>
    <t>sk</t>
  </si>
  <si>
    <t>added industry, appliances and non-residential buildings</t>
  </si>
  <si>
    <t>nonres_agg_hotels</t>
  </si>
  <si>
    <t>nonres_agg_governmental</t>
  </si>
  <si>
    <t>nonres_agg_office</t>
  </si>
  <si>
    <t>nonres_agg_retail</t>
  </si>
  <si>
    <t>manufacturing of RT_non-standard</t>
  </si>
  <si>
    <t>manufacturing of RT_standard</t>
  </si>
  <si>
    <t>manufacturing of RT_efficient</t>
  </si>
  <si>
    <t>manufacturing of RT_ZEB</t>
  </si>
  <si>
    <t>added RT values as copy of MFH values (proxy)</t>
  </si>
  <si>
    <t xml:space="preserve">Pang et al. </t>
  </si>
  <si>
    <t>Environmental life cycle assessment of a small hydropower plant in China</t>
  </si>
  <si>
    <t>DOI: 10.1007/s11367-015-0878-7</t>
  </si>
  <si>
    <t>ecoinvent activity name (exact)</t>
  </si>
  <si>
    <t>flow name (exact)</t>
  </si>
  <si>
    <t xml:space="preserve">value </t>
  </si>
  <si>
    <t>value [MJ]</t>
  </si>
  <si>
    <t>power plant size [GW]</t>
  </si>
  <si>
    <t>Region</t>
  </si>
  <si>
    <t>Reference Product</t>
  </si>
  <si>
    <t>Amount</t>
  </si>
  <si>
    <t>Unit</t>
  </si>
  <si>
    <t>Ancilliary Calculations EI in MJ/GW</t>
  </si>
  <si>
    <t>assembly of generator and motor, auxilliaries and energy use, heat and power co-generation unit, 160kW electrical_GLO_2000_Undefined</t>
  </si>
  <si>
    <t>electricity, medium voltage</t>
  </si>
  <si>
    <t>kWh</t>
  </si>
  <si>
    <t>for a 160 KW power co-generation unit</t>
  </si>
  <si>
    <t>GLO</t>
  </si>
  <si>
    <t>1987-01-01 to 2000-12-31</t>
  </si>
  <si>
    <t>heat, district or industrial, natural gas</t>
  </si>
  <si>
    <t>MJ</t>
  </si>
  <si>
    <t>geothermal power plant construction, undefined type_GLO_2008_Undefined</t>
  </si>
  <si>
    <t>diesel, burned in building machine</t>
  </si>
  <si>
    <t xml:space="preserve">capacity of 3MWel </t>
  </si>
  <si>
    <t>2008-01-01 to 2008-12-31</t>
  </si>
  <si>
    <t>gas power plant construction, combined cycle, 400MW electrical_GLO_2002_Undefined</t>
  </si>
  <si>
    <t>400MW electrical</t>
  </si>
  <si>
    <t>1990-01-01 to 2002-12-31</t>
  </si>
  <si>
    <t>gas power plant construction, 100MW electrical_GLO_2000_Undefined</t>
  </si>
  <si>
    <t xml:space="preserve"> 100MW electrical</t>
  </si>
  <si>
    <t>1990-01-01 to 2000-12-31</t>
  </si>
  <si>
    <t>hard coal power plant construction, 500MW</t>
  </si>
  <si>
    <t xml:space="preserve"> 500MW</t>
  </si>
  <si>
    <t>1980-01-01 to 1992-12-31</t>
  </si>
  <si>
    <t>nuclear fuel factory construction</t>
  </si>
  <si>
    <t>nuclear power plant, pressure water reactor 1000MW</t>
  </si>
  <si>
    <t>Table5.3 Energy inventory for the poly crystalline solar panel</t>
  </si>
  <si>
    <t>Electricity</t>
  </si>
  <si>
    <t>Rated Capacity 27 KWp</t>
  </si>
  <si>
    <t>Table 1 Overall LCI data for the production of 1 MWh of electricity</t>
  </si>
  <si>
    <t>Electricity (Construction stage)</t>
  </si>
  <si>
    <t>The plant is composed of two hydro-turbines, each with a generating capacity of 1.6 MW</t>
  </si>
  <si>
    <t>Chaouki Ghenai</t>
  </si>
  <si>
    <t>Life Cycle Analysis of Wind Turbine</t>
  </si>
  <si>
    <t>DOI: 10.5772/29184</t>
  </si>
  <si>
    <t xml:space="preserve">Table 4. Energy and CO2 Footprint Summary – Wind Turbine </t>
  </si>
  <si>
    <t>Life Cycle Assessment of Solar PV System</t>
  </si>
  <si>
    <t>Sreekanth Buzz</t>
  </si>
  <si>
    <t>DETAILED PROJECT REPORT FOR GRID INTERACTIVE ROOF TOP SOLAR PHOTOVOLTAIC POWER PLANT AT SEWA BHAWAN</t>
  </si>
  <si>
    <t>added data sources for electricity generation technologies</t>
  </si>
  <si>
    <t>process number (cited on Values_Master sheet)</t>
  </si>
  <si>
    <t>ref 5</t>
  </si>
  <si>
    <t>ref 6</t>
  </si>
  <si>
    <t>ref. [5]</t>
  </si>
  <si>
    <t>ref. [4]</t>
  </si>
  <si>
    <t>ref. [6]</t>
  </si>
  <si>
    <t>no data</t>
  </si>
  <si>
    <t>cf. Log sheet entry from 27-07-2020, process no. 17</t>
  </si>
  <si>
    <t>cf. Log sheet entry from 27-07-2020, process no. 15</t>
  </si>
  <si>
    <t>cf. Log sheet entry from 27-07-2020, process no. 11</t>
  </si>
  <si>
    <t>cf. Log sheet entry from 27-07-2020, process no. 10</t>
  </si>
  <si>
    <t>cf. Log sheet entry from 27-07-2020, process no. 5</t>
  </si>
  <si>
    <t>Process efficiencies of material production, final energy delivered to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</si>
</sst>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u/>
      <sz val="10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quotePrefix="1"/>
    <xf numFmtId="0" fontId="1" fillId="0" borderId="0" xfId="0" applyFont="1"/>
    <xf numFmtId="14" fontId="0" fillId="0" borderId="0" xfId="0" quotePrefix="1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3" fillId="3" borderId="0" xfId="0" applyFont="1" applyFill="1"/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quotePrefix="1" applyFill="1"/>
    <xf numFmtId="0" fontId="3" fillId="0" borderId="0" xfId="0" applyFont="1" applyFill="1"/>
    <xf numFmtId="0" fontId="1" fillId="0" borderId="0" xfId="0" applyFont="1" applyFill="1"/>
    <xf numFmtId="0" fontId="0" fillId="0" borderId="0" xfId="0" applyFill="1"/>
    <xf numFmtId="0" fontId="0" fillId="0" borderId="0" xfId="0" quotePrefix="1" applyFont="1"/>
    <xf numFmtId="0" fontId="0" fillId="0" borderId="0" xfId="0" applyFont="1"/>
    <xf numFmtId="0" fontId="0" fillId="3" borderId="0" xfId="0" applyFont="1" applyFill="1"/>
    <xf numFmtId="0" fontId="0" fillId="0" borderId="0" xfId="0" quotePrefix="1" applyFill="1"/>
    <xf numFmtId="0" fontId="0" fillId="0" borderId="0" xfId="0" applyFont="1" applyFill="1"/>
    <xf numFmtId="0" fontId="0" fillId="0" borderId="0" xfId="0" applyFont="1" applyFill="1" applyBorder="1"/>
    <xf numFmtId="14" fontId="0" fillId="0" borderId="0" xfId="0" applyNumberFormat="1"/>
    <xf numFmtId="16" fontId="0" fillId="0" borderId="0" xfId="0" applyNumberFormat="1"/>
    <xf numFmtId="0" fontId="5" fillId="0" borderId="0" xfId="0" applyFont="1"/>
    <xf numFmtId="11" fontId="0" fillId="0" borderId="0" xfId="0" applyNumberFormat="1"/>
    <xf numFmtId="0" fontId="6" fillId="0" borderId="0" xfId="1" applyAlignment="1" applyProtection="1">
      <alignment horizontal="left" vertical="center" wrapText="1" inden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B4" sqref="B4"/>
    </sheetView>
  </sheetViews>
  <sheetFormatPr baseColWidth="10" defaultColWidth="9.1328125" defaultRowHeight="14.25" x14ac:dyDescent="0.45"/>
  <cols>
    <col min="1" max="1" width="36.796875" bestFit="1" customWidth="1"/>
    <col min="2" max="2" width="37.1328125" customWidth="1"/>
    <col min="3" max="3" width="23.1328125" bestFit="1" customWidth="1"/>
    <col min="4" max="4" width="41" customWidth="1"/>
    <col min="5" max="6" width="11.796875" bestFit="1" customWidth="1"/>
    <col min="7" max="7" width="6.53125" customWidth="1"/>
    <col min="8" max="8" width="43" customWidth="1"/>
    <col min="9" max="9" width="3.46484375" customWidth="1"/>
    <col min="10" max="11" width="3.19921875" customWidth="1"/>
  </cols>
  <sheetData>
    <row r="1" spans="1:12" x14ac:dyDescent="0.45">
      <c r="A1" s="5" t="s">
        <v>36</v>
      </c>
      <c r="E1" s="1" t="s">
        <v>24</v>
      </c>
      <c r="H1" s="13" t="s">
        <v>46</v>
      </c>
    </row>
    <row r="2" spans="1:12" x14ac:dyDescent="0.45">
      <c r="A2" s="4" t="s">
        <v>4</v>
      </c>
      <c r="B2" s="1" t="s">
        <v>28</v>
      </c>
      <c r="E2" s="1" t="s">
        <v>24</v>
      </c>
      <c r="H2" s="6" t="s">
        <v>14</v>
      </c>
      <c r="L2" s="1"/>
    </row>
    <row r="3" spans="1:12" x14ac:dyDescent="0.45">
      <c r="A3" s="4" t="s">
        <v>5</v>
      </c>
      <c r="B3" t="s">
        <v>83</v>
      </c>
      <c r="E3" s="1" t="s">
        <v>24</v>
      </c>
      <c r="H3" s="6" t="s">
        <v>15</v>
      </c>
      <c r="L3" s="1"/>
    </row>
    <row r="4" spans="1:12" x14ac:dyDescent="0.45">
      <c r="A4" s="4" t="s">
        <v>6</v>
      </c>
      <c r="B4" t="s">
        <v>266</v>
      </c>
      <c r="E4" s="1" t="s">
        <v>24</v>
      </c>
      <c r="H4" t="s">
        <v>16</v>
      </c>
      <c r="L4" s="1"/>
    </row>
    <row r="5" spans="1:12" x14ac:dyDescent="0.45">
      <c r="A5" s="4" t="s">
        <v>7</v>
      </c>
      <c r="B5" s="1" t="s">
        <v>29</v>
      </c>
      <c r="E5" s="1" t="s">
        <v>24</v>
      </c>
      <c r="H5" t="s">
        <v>33</v>
      </c>
      <c r="L5" s="1"/>
    </row>
    <row r="6" spans="1:12" x14ac:dyDescent="0.45">
      <c r="A6" s="4" t="s">
        <v>31</v>
      </c>
      <c r="B6" s="1" t="s">
        <v>29</v>
      </c>
      <c r="E6" s="1" t="s">
        <v>24</v>
      </c>
      <c r="H6" t="s">
        <v>35</v>
      </c>
      <c r="L6" s="1"/>
    </row>
    <row r="7" spans="1:12" x14ac:dyDescent="0.45">
      <c r="A7" s="4" t="s">
        <v>32</v>
      </c>
      <c r="B7" s="1" t="s">
        <v>29</v>
      </c>
      <c r="E7" s="1" t="s">
        <v>24</v>
      </c>
      <c r="H7" t="s">
        <v>34</v>
      </c>
      <c r="L7" s="1"/>
    </row>
    <row r="8" spans="1:12" x14ac:dyDescent="0.45">
      <c r="A8" s="14" t="s">
        <v>8</v>
      </c>
      <c r="B8" t="s">
        <v>63</v>
      </c>
      <c r="E8" s="1" t="s">
        <v>24</v>
      </c>
      <c r="H8" t="s">
        <v>17</v>
      </c>
      <c r="L8" s="1"/>
    </row>
    <row r="9" spans="1:12" x14ac:dyDescent="0.45">
      <c r="A9" s="2" t="s">
        <v>9</v>
      </c>
      <c r="B9" s="8" t="s">
        <v>83</v>
      </c>
      <c r="E9" s="1" t="s">
        <v>24</v>
      </c>
      <c r="H9" t="s">
        <v>30</v>
      </c>
      <c r="L9" s="1"/>
    </row>
    <row r="10" spans="1:12" x14ac:dyDescent="0.45">
      <c r="A10" s="4" t="s">
        <v>10</v>
      </c>
      <c r="B10" t="s">
        <v>135</v>
      </c>
      <c r="E10" s="1" t="s">
        <v>24</v>
      </c>
      <c r="H10" t="s">
        <v>18</v>
      </c>
      <c r="L10" s="1"/>
    </row>
    <row r="11" spans="1:12" x14ac:dyDescent="0.45">
      <c r="A11" s="2" t="s">
        <v>0</v>
      </c>
      <c r="B11" s="3">
        <v>43384</v>
      </c>
      <c r="E11" s="1" t="s">
        <v>24</v>
      </c>
      <c r="H11" t="s">
        <v>19</v>
      </c>
      <c r="L11" s="1"/>
    </row>
    <row r="12" spans="1:12" x14ac:dyDescent="0.45">
      <c r="A12" s="4" t="s">
        <v>1</v>
      </c>
      <c r="B12" s="3">
        <v>44039</v>
      </c>
      <c r="E12" s="1" t="s">
        <v>24</v>
      </c>
      <c r="H12" t="s">
        <v>20</v>
      </c>
      <c r="L12" s="1"/>
    </row>
    <row r="13" spans="1:12" x14ac:dyDescent="0.45">
      <c r="A13" s="4" t="s">
        <v>2</v>
      </c>
      <c r="B13" t="s">
        <v>3</v>
      </c>
      <c r="E13" s="1" t="s">
        <v>24</v>
      </c>
      <c r="H13" t="s">
        <v>21</v>
      </c>
      <c r="L13" s="1"/>
    </row>
    <row r="14" spans="1:12" x14ac:dyDescent="0.45">
      <c r="A14" s="4" t="s">
        <v>11</v>
      </c>
      <c r="B14" s="12" t="s">
        <v>134</v>
      </c>
      <c r="E14" s="1" t="s">
        <v>24</v>
      </c>
      <c r="H14" t="s">
        <v>22</v>
      </c>
      <c r="L14" s="1"/>
    </row>
    <row r="15" spans="1:12" x14ac:dyDescent="0.45">
      <c r="A15" s="4" t="s">
        <v>12</v>
      </c>
      <c r="B15" s="8" t="s">
        <v>91</v>
      </c>
      <c r="E15" s="1" t="s">
        <v>24</v>
      </c>
      <c r="H15" t="s">
        <v>23</v>
      </c>
      <c r="L15" s="1"/>
    </row>
    <row r="16" spans="1:12" x14ac:dyDescent="0.45">
      <c r="A16" s="14" t="s">
        <v>48</v>
      </c>
      <c r="B16" s="15"/>
      <c r="C16" s="15"/>
      <c r="E16" s="1"/>
      <c r="L16" s="1"/>
    </row>
    <row r="17" spans="1:12" x14ac:dyDescent="0.45">
      <c r="A17" s="14" t="s">
        <v>48</v>
      </c>
      <c r="B17" s="15"/>
      <c r="C17" s="15"/>
      <c r="E17" s="1"/>
      <c r="L17" s="1"/>
    </row>
    <row r="18" spans="1:12" x14ac:dyDescent="0.45">
      <c r="A18" s="14" t="s">
        <v>48</v>
      </c>
      <c r="B18" s="15"/>
      <c r="C18" s="15"/>
      <c r="E18" s="1"/>
      <c r="L18" s="1"/>
    </row>
    <row r="19" spans="1:12" x14ac:dyDescent="0.45">
      <c r="A19" s="14" t="s">
        <v>48</v>
      </c>
      <c r="B19" s="15"/>
      <c r="C19" s="15"/>
      <c r="E19" s="1"/>
      <c r="L19" s="1"/>
    </row>
    <row r="20" spans="1:12" x14ac:dyDescent="0.45">
      <c r="A20" s="14" t="s">
        <v>48</v>
      </c>
      <c r="B20" s="15"/>
      <c r="C20" s="15"/>
      <c r="E20" s="1"/>
      <c r="L20" s="1"/>
    </row>
    <row r="21" spans="1:12" x14ac:dyDescent="0.45">
      <c r="A21" s="4" t="s">
        <v>13</v>
      </c>
      <c r="B21" s="5" t="s">
        <v>29</v>
      </c>
      <c r="C21" s="10" t="s">
        <v>47</v>
      </c>
      <c r="D21" s="11">
        <v>180</v>
      </c>
      <c r="E21" s="1" t="s">
        <v>24</v>
      </c>
      <c r="H21" t="s">
        <v>25</v>
      </c>
      <c r="L21" s="1"/>
    </row>
    <row r="22" spans="1:12" x14ac:dyDescent="0.45">
      <c r="A22" s="4" t="s">
        <v>49</v>
      </c>
      <c r="B22" s="4" t="s">
        <v>37</v>
      </c>
      <c r="C22" s="4" t="s">
        <v>41</v>
      </c>
      <c r="D22" s="4" t="s">
        <v>42</v>
      </c>
      <c r="E22" s="16" t="s">
        <v>24</v>
      </c>
      <c r="F22" s="17"/>
      <c r="G22" s="17"/>
      <c r="H22" s="17"/>
      <c r="L22" s="1"/>
    </row>
    <row r="23" spans="1:12" x14ac:dyDescent="0.45">
      <c r="A23" s="18" t="s">
        <v>63</v>
      </c>
      <c r="B23" s="17" t="s">
        <v>64</v>
      </c>
      <c r="C23" s="18" t="s">
        <v>51</v>
      </c>
      <c r="D23" s="17" t="s">
        <v>57</v>
      </c>
      <c r="E23" s="16" t="s">
        <v>24</v>
      </c>
      <c r="F23" s="17"/>
      <c r="G23" s="17"/>
      <c r="H23" s="17" t="s">
        <v>38</v>
      </c>
      <c r="L23" s="1"/>
    </row>
    <row r="24" spans="1:12" x14ac:dyDescent="0.45">
      <c r="A24" s="9" t="s">
        <v>61</v>
      </c>
      <c r="B24" s="17" t="s">
        <v>62</v>
      </c>
      <c r="C24" s="18" t="s">
        <v>52</v>
      </c>
      <c r="D24" s="17" t="s">
        <v>58</v>
      </c>
      <c r="E24" s="16" t="s">
        <v>24</v>
      </c>
      <c r="F24" s="17"/>
      <c r="G24" s="17"/>
      <c r="H24" s="7" t="s">
        <v>39</v>
      </c>
      <c r="L24" s="1"/>
    </row>
    <row r="25" spans="1:12" x14ac:dyDescent="0.45">
      <c r="A25" s="18" t="s">
        <v>59</v>
      </c>
      <c r="B25" s="17" t="s">
        <v>60</v>
      </c>
      <c r="C25" s="18" t="s">
        <v>50</v>
      </c>
      <c r="D25" s="17" t="s">
        <v>45</v>
      </c>
      <c r="E25" s="16" t="s">
        <v>24</v>
      </c>
      <c r="F25" s="17"/>
      <c r="G25" s="17"/>
      <c r="H25" s="7" t="s">
        <v>40</v>
      </c>
      <c r="L25" s="1"/>
    </row>
    <row r="26" spans="1:12" x14ac:dyDescent="0.45">
      <c r="A26" s="18" t="s">
        <v>120</v>
      </c>
      <c r="B26" s="17" t="s">
        <v>121</v>
      </c>
      <c r="C26" s="18" t="s">
        <v>53</v>
      </c>
      <c r="D26" s="17" t="s">
        <v>44</v>
      </c>
      <c r="E26" s="16" t="s">
        <v>24</v>
      </c>
      <c r="F26" s="17"/>
      <c r="G26" s="17"/>
      <c r="H26" s="17" t="s">
        <v>43</v>
      </c>
      <c r="L26" s="1"/>
    </row>
    <row r="27" spans="1:12" x14ac:dyDescent="0.45">
      <c r="E27" s="1" t="s">
        <v>24</v>
      </c>
      <c r="F27" s="15"/>
      <c r="H27" s="15"/>
      <c r="I27" s="15"/>
      <c r="J27" s="15"/>
      <c r="K27" s="15"/>
      <c r="L27" s="19"/>
    </row>
    <row r="28" spans="1:12" x14ac:dyDescent="0.45">
      <c r="E28" s="1" t="s">
        <v>24</v>
      </c>
      <c r="F28" s="15"/>
      <c r="H28" s="15"/>
      <c r="I28" s="15"/>
      <c r="J28" s="15"/>
      <c r="K28" s="15"/>
      <c r="L28" s="19"/>
    </row>
    <row r="29" spans="1:12" x14ac:dyDescent="0.45">
      <c r="E29" s="1" t="s">
        <v>24</v>
      </c>
      <c r="F29" s="15"/>
      <c r="H29" s="15"/>
      <c r="I29" s="15"/>
      <c r="J29" s="15"/>
      <c r="K29" s="15"/>
      <c r="L29" s="15"/>
    </row>
    <row r="30" spans="1:12" x14ac:dyDescent="0.45">
      <c r="E30" s="1" t="s">
        <v>24</v>
      </c>
      <c r="F30" s="15"/>
      <c r="H30" s="15"/>
      <c r="I30" s="15"/>
      <c r="J30" s="15"/>
      <c r="K30" s="15"/>
      <c r="L30" s="15"/>
    </row>
    <row r="31" spans="1:12" x14ac:dyDescent="0.45">
      <c r="E31" s="1" t="s">
        <v>24</v>
      </c>
      <c r="F31" s="15"/>
      <c r="H31" s="15"/>
      <c r="I31" s="15"/>
      <c r="J31" s="15"/>
      <c r="K31" s="15"/>
      <c r="L31" s="15"/>
    </row>
    <row r="32" spans="1:12" x14ac:dyDescent="0.45">
      <c r="E32" s="1" t="s">
        <v>24</v>
      </c>
      <c r="F32" s="15"/>
      <c r="H32" s="20"/>
      <c r="I32" s="20"/>
      <c r="J32" s="15"/>
      <c r="K32" s="15"/>
      <c r="L32" s="15"/>
    </row>
    <row r="33" spans="5:12" x14ac:dyDescent="0.45">
      <c r="E33" s="14"/>
      <c r="F33" s="15"/>
      <c r="G33" s="15"/>
      <c r="H33" s="15"/>
      <c r="I33" s="15"/>
      <c r="J33" s="15"/>
      <c r="K33" s="15"/>
      <c r="L33" s="15"/>
    </row>
    <row r="34" spans="5:12" x14ac:dyDescent="0.45">
      <c r="E34" s="15"/>
      <c r="F34" s="15"/>
      <c r="G34" s="15"/>
      <c r="H34" s="15"/>
      <c r="I34" s="15"/>
      <c r="J34" s="15"/>
      <c r="K34" s="15"/>
      <c r="L34" s="15"/>
    </row>
    <row r="35" spans="5:12" x14ac:dyDescent="0.45">
      <c r="E35" s="15"/>
      <c r="F35" s="15"/>
      <c r="G35" s="15"/>
      <c r="H35" s="15"/>
      <c r="I35" s="15"/>
      <c r="J35" s="15"/>
      <c r="K35" s="15"/>
      <c r="L35" s="15"/>
    </row>
    <row r="36" spans="5:12" x14ac:dyDescent="0.45">
      <c r="E36" s="15"/>
      <c r="F36" s="15"/>
      <c r="G36" s="15"/>
      <c r="H36" s="15"/>
      <c r="I36" s="15"/>
      <c r="J36" s="15"/>
      <c r="K36" s="15"/>
      <c r="L36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9"/>
  <sheetViews>
    <sheetView topLeftCell="A151" zoomScale="85" zoomScaleNormal="85" workbookViewId="0">
      <selection activeCell="H136" sqref="H136"/>
    </sheetView>
  </sheetViews>
  <sheetFormatPr baseColWidth="10" defaultColWidth="10.6640625" defaultRowHeight="14.25" x14ac:dyDescent="0.45"/>
  <cols>
    <col min="1" max="1" width="54.53125" bestFit="1" customWidth="1"/>
    <col min="2" max="2" width="18.19921875" bestFit="1" customWidth="1"/>
    <col min="3" max="3" width="5.19921875" bestFit="1" customWidth="1"/>
    <col min="4" max="4" width="14.6640625" bestFit="1" customWidth="1"/>
    <col min="5" max="5" width="10.86328125" customWidth="1"/>
    <col min="6" max="6" width="9.46484375" customWidth="1"/>
    <col min="7" max="7" width="16.19921875" bestFit="1" customWidth="1"/>
    <col min="8" max="8" width="12.796875" customWidth="1"/>
    <col min="9" max="9" width="11.19921875" customWidth="1"/>
    <col min="11" max="11" width="11.9296875" bestFit="1" customWidth="1"/>
  </cols>
  <sheetData>
    <row r="1" spans="1:10" x14ac:dyDescent="0.45">
      <c r="A1" s="2" t="s">
        <v>63</v>
      </c>
      <c r="B1" s="2" t="s">
        <v>61</v>
      </c>
      <c r="C1" s="2" t="s">
        <v>59</v>
      </c>
      <c r="D1" s="2" t="s">
        <v>26</v>
      </c>
      <c r="E1" s="2" t="s">
        <v>54</v>
      </c>
      <c r="F1" s="2" t="s">
        <v>52</v>
      </c>
      <c r="G1" s="2" t="s">
        <v>50</v>
      </c>
      <c r="H1" s="2" t="s">
        <v>53</v>
      </c>
    </row>
    <row r="2" spans="1:10" x14ac:dyDescent="0.45">
      <c r="A2" t="s">
        <v>65</v>
      </c>
      <c r="B2" t="s">
        <v>55</v>
      </c>
      <c r="C2">
        <v>2010</v>
      </c>
      <c r="D2" s="20" t="s">
        <v>84</v>
      </c>
      <c r="E2">
        <v>8988.4947600000014</v>
      </c>
      <c r="F2" t="s">
        <v>81</v>
      </c>
      <c r="G2" t="s">
        <v>27</v>
      </c>
      <c r="H2" s="17" t="s">
        <v>129</v>
      </c>
    </row>
    <row r="3" spans="1:10" x14ac:dyDescent="0.45">
      <c r="A3" t="s">
        <v>65</v>
      </c>
      <c r="B3" t="s">
        <v>56</v>
      </c>
      <c r="C3">
        <v>2010</v>
      </c>
      <c r="D3" s="20" t="s">
        <v>84</v>
      </c>
      <c r="E3">
        <v>2663.1708100000001</v>
      </c>
      <c r="F3" t="s">
        <v>81</v>
      </c>
      <c r="G3" t="s">
        <v>27</v>
      </c>
      <c r="H3" s="17" t="s">
        <v>129</v>
      </c>
    </row>
    <row r="4" spans="1:10" x14ac:dyDescent="0.45">
      <c r="A4" t="s">
        <v>66</v>
      </c>
      <c r="B4" t="s">
        <v>55</v>
      </c>
      <c r="C4">
        <v>2010</v>
      </c>
      <c r="D4" s="20" t="s">
        <v>84</v>
      </c>
      <c r="E4">
        <v>9570.7648800000006</v>
      </c>
      <c r="F4" t="s">
        <v>81</v>
      </c>
      <c r="G4" t="s">
        <v>27</v>
      </c>
      <c r="H4" s="17" t="s">
        <v>129</v>
      </c>
    </row>
    <row r="5" spans="1:10" x14ac:dyDescent="0.45">
      <c r="A5" t="s">
        <v>66</v>
      </c>
      <c r="B5" t="s">
        <v>56</v>
      </c>
      <c r="C5">
        <v>2010</v>
      </c>
      <c r="D5" s="20" t="s">
        <v>84</v>
      </c>
      <c r="E5">
        <v>2835.7205200000003</v>
      </c>
      <c r="F5" t="s">
        <v>81</v>
      </c>
      <c r="G5" t="s">
        <v>27</v>
      </c>
      <c r="H5" s="17" t="s">
        <v>129</v>
      </c>
    </row>
    <row r="6" spans="1:10" x14ac:dyDescent="0.45">
      <c r="A6" t="s">
        <v>67</v>
      </c>
      <c r="B6" t="s">
        <v>55</v>
      </c>
      <c r="C6">
        <v>2010</v>
      </c>
      <c r="D6" s="20" t="s">
        <v>84</v>
      </c>
      <c r="E6">
        <v>6190.3229040000006</v>
      </c>
      <c r="F6" t="s">
        <v>81</v>
      </c>
      <c r="G6" t="s">
        <v>27</v>
      </c>
      <c r="H6" s="17" t="s">
        <v>129</v>
      </c>
      <c r="I6" s="17"/>
      <c r="J6" s="17"/>
    </row>
    <row r="7" spans="1:10" x14ac:dyDescent="0.45">
      <c r="A7" t="s">
        <v>67</v>
      </c>
      <c r="B7" s="17" t="s">
        <v>56</v>
      </c>
      <c r="C7">
        <v>2010</v>
      </c>
      <c r="D7" s="20" t="s">
        <v>84</v>
      </c>
      <c r="E7">
        <v>2513.8484800000006</v>
      </c>
      <c r="F7" t="s">
        <v>81</v>
      </c>
      <c r="G7" t="s">
        <v>27</v>
      </c>
      <c r="H7" s="17" t="s">
        <v>129</v>
      </c>
      <c r="I7" s="17"/>
      <c r="J7" s="17"/>
    </row>
    <row r="8" spans="1:10" x14ac:dyDescent="0.45">
      <c r="A8" t="s">
        <v>68</v>
      </c>
      <c r="B8" t="s">
        <v>55</v>
      </c>
      <c r="C8">
        <v>2010</v>
      </c>
      <c r="D8" s="20" t="s">
        <v>84</v>
      </c>
      <c r="E8">
        <v>6190.3229040000006</v>
      </c>
      <c r="F8" t="s">
        <v>81</v>
      </c>
      <c r="G8" t="s">
        <v>27</v>
      </c>
      <c r="H8" t="s">
        <v>130</v>
      </c>
      <c r="I8" s="17"/>
      <c r="J8" s="17"/>
    </row>
    <row r="9" spans="1:10" x14ac:dyDescent="0.45">
      <c r="A9" t="s">
        <v>68</v>
      </c>
      <c r="B9" s="17" t="s">
        <v>56</v>
      </c>
      <c r="C9">
        <v>2010</v>
      </c>
      <c r="D9" s="20" t="s">
        <v>84</v>
      </c>
      <c r="E9">
        <v>9519.278349758426</v>
      </c>
      <c r="F9" t="s">
        <v>81</v>
      </c>
      <c r="G9" t="s">
        <v>27</v>
      </c>
      <c r="H9" t="s">
        <v>130</v>
      </c>
      <c r="I9" s="17"/>
      <c r="J9" s="17"/>
    </row>
    <row r="10" spans="1:10" x14ac:dyDescent="0.45">
      <c r="A10" t="s">
        <v>68</v>
      </c>
      <c r="B10" t="s">
        <v>89</v>
      </c>
      <c r="C10">
        <v>2010</v>
      </c>
      <c r="D10" s="20" t="s">
        <v>84</v>
      </c>
      <c r="E10">
        <v>3700.43468956476</v>
      </c>
      <c r="F10" t="s">
        <v>81</v>
      </c>
      <c r="G10" t="s">
        <v>27</v>
      </c>
      <c r="H10" t="s">
        <v>130</v>
      </c>
      <c r="I10" s="17"/>
      <c r="J10" s="17"/>
    </row>
    <row r="11" spans="1:10" x14ac:dyDescent="0.45">
      <c r="A11" t="s">
        <v>68</v>
      </c>
      <c r="B11" s="17" t="s">
        <v>86</v>
      </c>
      <c r="C11">
        <v>2010</v>
      </c>
      <c r="D11" s="20" t="s">
        <v>84</v>
      </c>
      <c r="E11">
        <v>1667.7647192999473</v>
      </c>
      <c r="F11" t="s">
        <v>81</v>
      </c>
      <c r="G11" t="s">
        <v>27</v>
      </c>
      <c r="H11" t="s">
        <v>130</v>
      </c>
      <c r="I11" s="17"/>
      <c r="J11" s="17"/>
    </row>
    <row r="12" spans="1:10" x14ac:dyDescent="0.45">
      <c r="A12" t="s">
        <v>70</v>
      </c>
      <c r="B12" t="s">
        <v>55</v>
      </c>
      <c r="C12">
        <v>2010</v>
      </c>
      <c r="D12" s="20" t="s">
        <v>84</v>
      </c>
      <c r="E12">
        <v>6190.3229040000006</v>
      </c>
      <c r="F12" t="s">
        <v>81</v>
      </c>
      <c r="G12" t="s">
        <v>27</v>
      </c>
      <c r="H12" t="s">
        <v>85</v>
      </c>
      <c r="I12" s="17"/>
      <c r="J12" s="17"/>
    </row>
    <row r="13" spans="1:10" x14ac:dyDescent="0.45">
      <c r="A13" t="s">
        <v>70</v>
      </c>
      <c r="B13" t="s">
        <v>56</v>
      </c>
      <c r="C13">
        <v>2010</v>
      </c>
      <c r="D13" s="20" t="s">
        <v>84</v>
      </c>
      <c r="E13">
        <v>2513.8484800000006</v>
      </c>
      <c r="F13" t="s">
        <v>81</v>
      </c>
      <c r="G13" t="s">
        <v>27</v>
      </c>
      <c r="H13" t="s">
        <v>85</v>
      </c>
      <c r="I13" s="17"/>
      <c r="J13" s="17"/>
    </row>
    <row r="14" spans="1:10" x14ac:dyDescent="0.45">
      <c r="A14" t="s">
        <v>69</v>
      </c>
      <c r="B14" t="s">
        <v>55</v>
      </c>
      <c r="C14">
        <v>2010</v>
      </c>
      <c r="D14" s="20" t="s">
        <v>84</v>
      </c>
      <c r="E14">
        <v>6190.3229040000006</v>
      </c>
      <c r="F14" t="s">
        <v>81</v>
      </c>
      <c r="G14" t="s">
        <v>27</v>
      </c>
      <c r="H14" s="17" t="s">
        <v>131</v>
      </c>
      <c r="I14" s="17"/>
      <c r="J14" s="17"/>
    </row>
    <row r="15" spans="1:10" x14ac:dyDescent="0.45">
      <c r="A15" t="s">
        <v>69</v>
      </c>
      <c r="B15" s="17" t="s">
        <v>56</v>
      </c>
      <c r="C15">
        <v>2010</v>
      </c>
      <c r="D15" s="20" t="s">
        <v>84</v>
      </c>
      <c r="E15">
        <v>12595.505377944723</v>
      </c>
      <c r="F15" t="s">
        <v>81</v>
      </c>
      <c r="G15" t="s">
        <v>27</v>
      </c>
      <c r="H15" s="17" t="s">
        <v>131</v>
      </c>
      <c r="I15" s="17"/>
      <c r="J15" s="17"/>
    </row>
    <row r="16" spans="1:10" x14ac:dyDescent="0.45">
      <c r="A16" t="s">
        <v>69</v>
      </c>
      <c r="B16" t="s">
        <v>89</v>
      </c>
      <c r="C16">
        <v>2010</v>
      </c>
      <c r="D16" s="20" t="s">
        <v>84</v>
      </c>
      <c r="E16">
        <v>4919.4351622636896</v>
      </c>
      <c r="F16" t="s">
        <v>81</v>
      </c>
      <c r="G16" t="s">
        <v>27</v>
      </c>
      <c r="H16" s="17" t="s">
        <v>131</v>
      </c>
      <c r="I16" s="17"/>
      <c r="J16" s="17"/>
    </row>
    <row r="17" spans="1:10" x14ac:dyDescent="0.45">
      <c r="A17" t="s">
        <v>69</v>
      </c>
      <c r="B17" s="17" t="s">
        <v>86</v>
      </c>
      <c r="C17">
        <v>2010</v>
      </c>
      <c r="D17" s="20" t="s">
        <v>84</v>
      </c>
      <c r="E17">
        <v>2368.9660651993286</v>
      </c>
      <c r="F17" t="s">
        <v>81</v>
      </c>
      <c r="G17" t="s">
        <v>27</v>
      </c>
      <c r="H17" s="17" t="s">
        <v>131</v>
      </c>
      <c r="I17" s="17"/>
      <c r="J17" s="17"/>
    </row>
    <row r="18" spans="1:10" x14ac:dyDescent="0.45">
      <c r="A18" t="s">
        <v>71</v>
      </c>
      <c r="B18" s="17" t="s">
        <v>80</v>
      </c>
      <c r="C18">
        <v>2010</v>
      </c>
      <c r="D18" s="20" t="s">
        <v>84</v>
      </c>
      <c r="E18">
        <v>6.2</v>
      </c>
      <c r="F18" t="s">
        <v>82</v>
      </c>
      <c r="G18" t="s">
        <v>27</v>
      </c>
      <c r="H18" s="17" t="s">
        <v>132</v>
      </c>
      <c r="I18" s="17"/>
      <c r="J18" s="17"/>
    </row>
    <row r="19" spans="1:10" x14ac:dyDescent="0.45">
      <c r="A19" t="s">
        <v>71</v>
      </c>
      <c r="B19" s="17" t="s">
        <v>55</v>
      </c>
      <c r="C19">
        <v>2010</v>
      </c>
      <c r="D19" s="20" t="s">
        <v>84</v>
      </c>
      <c r="E19">
        <v>34.700000000000003</v>
      </c>
      <c r="F19" t="s">
        <v>82</v>
      </c>
      <c r="G19" t="s">
        <v>27</v>
      </c>
      <c r="H19" s="17" t="s">
        <v>132</v>
      </c>
      <c r="I19" s="17"/>
      <c r="J19" s="17"/>
    </row>
    <row r="20" spans="1:10" x14ac:dyDescent="0.45">
      <c r="A20" t="s">
        <v>71</v>
      </c>
      <c r="B20" s="17" t="s">
        <v>56</v>
      </c>
      <c r="C20">
        <v>2010</v>
      </c>
      <c r="D20" s="20" t="s">
        <v>84</v>
      </c>
      <c r="E20">
        <v>20.9</v>
      </c>
      <c r="F20" t="s">
        <v>82</v>
      </c>
      <c r="G20" t="s">
        <v>27</v>
      </c>
      <c r="H20" s="17" t="s">
        <v>132</v>
      </c>
      <c r="I20" s="17"/>
      <c r="J20" s="17"/>
    </row>
    <row r="21" spans="1:10" x14ac:dyDescent="0.45">
      <c r="A21" t="s">
        <v>71</v>
      </c>
      <c r="B21" s="17" t="s">
        <v>86</v>
      </c>
      <c r="C21">
        <v>2010</v>
      </c>
      <c r="D21" s="20" t="s">
        <v>84</v>
      </c>
      <c r="E21">
        <v>156.19999999999999</v>
      </c>
      <c r="F21" t="s">
        <v>82</v>
      </c>
      <c r="G21" t="s">
        <v>27</v>
      </c>
      <c r="H21" s="17" t="s">
        <v>132</v>
      </c>
      <c r="I21" s="17"/>
      <c r="J21" s="17"/>
    </row>
    <row r="22" spans="1:10" x14ac:dyDescent="0.45">
      <c r="A22" s="21" t="s">
        <v>72</v>
      </c>
      <c r="B22" s="17" t="s">
        <v>80</v>
      </c>
      <c r="C22">
        <v>2010</v>
      </c>
      <c r="D22" s="20" t="s">
        <v>84</v>
      </c>
      <c r="E22">
        <v>6.2</v>
      </c>
      <c r="F22" t="s">
        <v>82</v>
      </c>
      <c r="G22" t="s">
        <v>27</v>
      </c>
      <c r="H22" s="17" t="s">
        <v>132</v>
      </c>
      <c r="I22" s="17"/>
      <c r="J22" s="17"/>
    </row>
    <row r="23" spans="1:10" x14ac:dyDescent="0.45">
      <c r="A23" s="21" t="s">
        <v>72</v>
      </c>
      <c r="B23" s="17" t="s">
        <v>55</v>
      </c>
      <c r="C23">
        <v>2010</v>
      </c>
      <c r="D23" s="20" t="s">
        <v>84</v>
      </c>
      <c r="E23">
        <v>34.700000000000003</v>
      </c>
      <c r="F23" t="s">
        <v>82</v>
      </c>
      <c r="G23" t="s">
        <v>27</v>
      </c>
      <c r="H23" s="17" t="s">
        <v>132</v>
      </c>
      <c r="I23" s="17"/>
      <c r="J23" s="17"/>
    </row>
    <row r="24" spans="1:10" x14ac:dyDescent="0.45">
      <c r="A24" s="21" t="s">
        <v>72</v>
      </c>
      <c r="B24" s="17" t="s">
        <v>56</v>
      </c>
      <c r="C24">
        <v>2010</v>
      </c>
      <c r="D24" s="20" t="s">
        <v>84</v>
      </c>
      <c r="E24">
        <v>20.9</v>
      </c>
      <c r="F24" t="s">
        <v>82</v>
      </c>
      <c r="G24" t="s">
        <v>27</v>
      </c>
      <c r="H24" s="17" t="s">
        <v>132</v>
      </c>
      <c r="I24" s="17"/>
      <c r="J24" s="17"/>
    </row>
    <row r="25" spans="1:10" x14ac:dyDescent="0.45">
      <c r="A25" s="21" t="s">
        <v>72</v>
      </c>
      <c r="B25" s="17" t="s">
        <v>86</v>
      </c>
      <c r="C25">
        <v>2010</v>
      </c>
      <c r="D25" s="20" t="s">
        <v>84</v>
      </c>
      <c r="E25">
        <v>156.19999999999999</v>
      </c>
      <c r="F25" t="s">
        <v>82</v>
      </c>
      <c r="G25" t="s">
        <v>27</v>
      </c>
      <c r="H25" s="17" t="s">
        <v>132</v>
      </c>
      <c r="I25" s="17"/>
      <c r="J25" s="17"/>
    </row>
    <row r="26" spans="1:10" x14ac:dyDescent="0.45">
      <c r="A26" s="21" t="s">
        <v>73</v>
      </c>
      <c r="B26" s="17" t="s">
        <v>80</v>
      </c>
      <c r="C26">
        <v>2010</v>
      </c>
      <c r="D26" s="20" t="s">
        <v>84</v>
      </c>
      <c r="E26">
        <v>6.2</v>
      </c>
      <c r="F26" t="s">
        <v>82</v>
      </c>
      <c r="G26" t="s">
        <v>27</v>
      </c>
      <c r="H26" s="17" t="s">
        <v>132</v>
      </c>
      <c r="I26" s="17"/>
      <c r="J26" s="17"/>
    </row>
    <row r="27" spans="1:10" x14ac:dyDescent="0.45">
      <c r="A27" s="21" t="s">
        <v>73</v>
      </c>
      <c r="B27" s="17" t="s">
        <v>55</v>
      </c>
      <c r="C27">
        <v>2010</v>
      </c>
      <c r="D27" s="20" t="s">
        <v>84</v>
      </c>
      <c r="E27">
        <v>34.700000000000003</v>
      </c>
      <c r="F27" t="s">
        <v>82</v>
      </c>
      <c r="G27" t="s">
        <v>27</v>
      </c>
      <c r="H27" s="17" t="s">
        <v>132</v>
      </c>
      <c r="I27" s="17"/>
      <c r="J27" s="17"/>
    </row>
    <row r="28" spans="1:10" x14ac:dyDescent="0.45">
      <c r="A28" s="21" t="s">
        <v>73</v>
      </c>
      <c r="B28" s="17" t="s">
        <v>56</v>
      </c>
      <c r="C28">
        <v>2010</v>
      </c>
      <c r="D28" s="20" t="s">
        <v>84</v>
      </c>
      <c r="E28">
        <v>20.9</v>
      </c>
      <c r="F28" t="s">
        <v>82</v>
      </c>
      <c r="G28" t="s">
        <v>27</v>
      </c>
      <c r="H28" s="17" t="s">
        <v>132</v>
      </c>
      <c r="I28" s="17"/>
      <c r="J28" s="17"/>
    </row>
    <row r="29" spans="1:10" x14ac:dyDescent="0.45">
      <c r="A29" s="21" t="s">
        <v>73</v>
      </c>
      <c r="B29" s="17" t="s">
        <v>86</v>
      </c>
      <c r="C29">
        <v>2010</v>
      </c>
      <c r="D29" s="20" t="s">
        <v>84</v>
      </c>
      <c r="E29">
        <v>156.19999999999999</v>
      </c>
      <c r="F29" t="s">
        <v>82</v>
      </c>
      <c r="G29" t="s">
        <v>27</v>
      </c>
      <c r="H29" s="17" t="s">
        <v>132</v>
      </c>
      <c r="I29" s="17"/>
      <c r="J29" s="17"/>
    </row>
    <row r="30" spans="1:10" x14ac:dyDescent="0.45">
      <c r="A30" s="21" t="s">
        <v>74</v>
      </c>
      <c r="B30" s="17" t="s">
        <v>80</v>
      </c>
      <c r="C30">
        <v>2010</v>
      </c>
      <c r="D30" s="20" t="s">
        <v>84</v>
      </c>
      <c r="E30">
        <v>6.2</v>
      </c>
      <c r="F30" t="s">
        <v>82</v>
      </c>
      <c r="G30" t="s">
        <v>27</v>
      </c>
      <c r="H30" s="17" t="s">
        <v>132</v>
      </c>
      <c r="I30" s="17"/>
      <c r="J30" s="17"/>
    </row>
    <row r="31" spans="1:10" x14ac:dyDescent="0.45">
      <c r="A31" s="21" t="s">
        <v>74</v>
      </c>
      <c r="B31" s="17" t="s">
        <v>55</v>
      </c>
      <c r="C31">
        <v>2010</v>
      </c>
      <c r="D31" s="20" t="s">
        <v>84</v>
      </c>
      <c r="E31">
        <v>34.700000000000003</v>
      </c>
      <c r="F31" t="s">
        <v>82</v>
      </c>
      <c r="G31" t="s">
        <v>27</v>
      </c>
      <c r="H31" s="17" t="s">
        <v>132</v>
      </c>
      <c r="I31" s="17"/>
      <c r="J31" s="17"/>
    </row>
    <row r="32" spans="1:10" x14ac:dyDescent="0.45">
      <c r="A32" s="21" t="s">
        <v>74</v>
      </c>
      <c r="B32" s="17" t="s">
        <v>56</v>
      </c>
      <c r="C32">
        <v>2010</v>
      </c>
      <c r="D32" s="20" t="s">
        <v>84</v>
      </c>
      <c r="E32">
        <v>20.9</v>
      </c>
      <c r="F32" t="s">
        <v>82</v>
      </c>
      <c r="G32" t="s">
        <v>27</v>
      </c>
      <c r="H32" s="17" t="s">
        <v>132</v>
      </c>
      <c r="I32" s="17"/>
      <c r="J32" s="17"/>
    </row>
    <row r="33" spans="1:10" x14ac:dyDescent="0.45">
      <c r="A33" s="21" t="s">
        <v>74</v>
      </c>
      <c r="B33" s="17" t="s">
        <v>86</v>
      </c>
      <c r="C33">
        <v>2010</v>
      </c>
      <c r="D33" s="20" t="s">
        <v>84</v>
      </c>
      <c r="E33">
        <v>156.19999999999999</v>
      </c>
      <c r="F33" t="s">
        <v>82</v>
      </c>
      <c r="G33" t="s">
        <v>27</v>
      </c>
      <c r="H33" s="17" t="s">
        <v>132</v>
      </c>
      <c r="I33" s="17"/>
      <c r="J33" s="17"/>
    </row>
    <row r="34" spans="1:10" x14ac:dyDescent="0.45">
      <c r="A34" s="21" t="s">
        <v>75</v>
      </c>
      <c r="B34" s="17" t="s">
        <v>80</v>
      </c>
      <c r="C34">
        <v>2010</v>
      </c>
      <c r="D34" s="20" t="s">
        <v>84</v>
      </c>
      <c r="E34">
        <v>5</v>
      </c>
      <c r="F34" t="s">
        <v>82</v>
      </c>
      <c r="G34" t="s">
        <v>27</v>
      </c>
      <c r="H34" s="17" t="s">
        <v>133</v>
      </c>
      <c r="I34" s="17"/>
      <c r="J34" s="17"/>
    </row>
    <row r="35" spans="1:10" x14ac:dyDescent="0.45">
      <c r="A35" s="21" t="s">
        <v>75</v>
      </c>
      <c r="B35" s="17" t="s">
        <v>55</v>
      </c>
      <c r="C35">
        <v>2010</v>
      </c>
      <c r="D35" s="20" t="s">
        <v>84</v>
      </c>
      <c r="E35">
        <v>0.36000000000000004</v>
      </c>
      <c r="F35" t="s">
        <v>82</v>
      </c>
      <c r="G35" t="s">
        <v>27</v>
      </c>
      <c r="H35" s="17" t="s">
        <v>133</v>
      </c>
      <c r="I35" s="17"/>
      <c r="J35" s="17"/>
    </row>
    <row r="36" spans="1:10" x14ac:dyDescent="0.45">
      <c r="A36" s="21" t="s">
        <v>75</v>
      </c>
      <c r="B36" s="17" t="s">
        <v>86</v>
      </c>
      <c r="C36">
        <v>2010</v>
      </c>
      <c r="D36" s="20" t="s">
        <v>84</v>
      </c>
      <c r="E36">
        <v>156.19999999999999</v>
      </c>
      <c r="F36" t="s">
        <v>82</v>
      </c>
      <c r="G36" t="s">
        <v>27</v>
      </c>
      <c r="H36" s="17" t="s">
        <v>133</v>
      </c>
      <c r="I36" s="17"/>
      <c r="J36" s="17"/>
    </row>
    <row r="37" spans="1:10" x14ac:dyDescent="0.45">
      <c r="A37" t="s">
        <v>76</v>
      </c>
      <c r="B37" s="17" t="s">
        <v>80</v>
      </c>
      <c r="C37">
        <v>2010</v>
      </c>
      <c r="D37" s="20" t="s">
        <v>84</v>
      </c>
      <c r="E37">
        <v>5</v>
      </c>
      <c r="F37" t="s">
        <v>82</v>
      </c>
      <c r="G37" t="s">
        <v>27</v>
      </c>
      <c r="H37" s="17" t="s">
        <v>133</v>
      </c>
      <c r="I37" s="17"/>
      <c r="J37" s="17"/>
    </row>
    <row r="38" spans="1:10" x14ac:dyDescent="0.45">
      <c r="A38" t="s">
        <v>76</v>
      </c>
      <c r="B38" s="17" t="s">
        <v>55</v>
      </c>
      <c r="C38">
        <v>2010</v>
      </c>
      <c r="D38" s="20" t="s">
        <v>84</v>
      </c>
      <c r="E38">
        <v>0.36000000000000004</v>
      </c>
      <c r="F38" t="s">
        <v>82</v>
      </c>
      <c r="G38" t="s">
        <v>27</v>
      </c>
      <c r="H38" s="17" t="s">
        <v>133</v>
      </c>
      <c r="I38" s="17"/>
      <c r="J38" s="17"/>
    </row>
    <row r="39" spans="1:10" x14ac:dyDescent="0.45">
      <c r="A39" t="s">
        <v>76</v>
      </c>
      <c r="B39" s="17" t="s">
        <v>86</v>
      </c>
      <c r="C39">
        <v>2010</v>
      </c>
      <c r="D39" s="20" t="s">
        <v>84</v>
      </c>
      <c r="E39">
        <v>156.19999999999999</v>
      </c>
      <c r="F39" t="s">
        <v>82</v>
      </c>
      <c r="G39" t="s">
        <v>27</v>
      </c>
      <c r="H39" s="17" t="s">
        <v>133</v>
      </c>
      <c r="I39" s="17"/>
      <c r="J39" s="17"/>
    </row>
    <row r="40" spans="1:10" x14ac:dyDescent="0.45">
      <c r="A40" t="s">
        <v>76</v>
      </c>
      <c r="B40" s="17" t="s">
        <v>80</v>
      </c>
      <c r="C40">
        <v>2010</v>
      </c>
      <c r="D40" s="20" t="s">
        <v>84</v>
      </c>
      <c r="E40">
        <v>5</v>
      </c>
      <c r="F40" t="s">
        <v>82</v>
      </c>
      <c r="G40" t="s">
        <v>27</v>
      </c>
      <c r="H40" s="17" t="s">
        <v>133</v>
      </c>
      <c r="I40" s="17"/>
      <c r="J40" s="17"/>
    </row>
    <row r="41" spans="1:10" x14ac:dyDescent="0.45">
      <c r="A41" t="s">
        <v>76</v>
      </c>
      <c r="B41" s="17" t="s">
        <v>55</v>
      </c>
      <c r="C41">
        <v>2010</v>
      </c>
      <c r="D41" s="20" t="s">
        <v>84</v>
      </c>
      <c r="E41">
        <v>0.36000000000000004</v>
      </c>
      <c r="F41" t="s">
        <v>82</v>
      </c>
      <c r="G41" t="s">
        <v>27</v>
      </c>
      <c r="H41" s="17" t="s">
        <v>133</v>
      </c>
      <c r="I41" s="17"/>
      <c r="J41" s="17"/>
    </row>
    <row r="42" spans="1:10" x14ac:dyDescent="0.45">
      <c r="A42" t="s">
        <v>76</v>
      </c>
      <c r="B42" s="17" t="s">
        <v>86</v>
      </c>
      <c r="C42">
        <v>2010</v>
      </c>
      <c r="D42" s="20" t="s">
        <v>84</v>
      </c>
      <c r="E42">
        <v>156.19999999999999</v>
      </c>
      <c r="F42" t="s">
        <v>82</v>
      </c>
      <c r="G42" t="s">
        <v>27</v>
      </c>
      <c r="H42" s="17" t="s">
        <v>133</v>
      </c>
      <c r="I42" s="17"/>
      <c r="J42" s="17"/>
    </row>
    <row r="43" spans="1:10" x14ac:dyDescent="0.45">
      <c r="A43" t="s">
        <v>77</v>
      </c>
      <c r="B43" s="17" t="s">
        <v>80</v>
      </c>
      <c r="C43">
        <v>2010</v>
      </c>
      <c r="D43" s="20" t="s">
        <v>84</v>
      </c>
      <c r="E43">
        <v>5</v>
      </c>
      <c r="F43" t="s">
        <v>82</v>
      </c>
      <c r="G43" t="s">
        <v>27</v>
      </c>
      <c r="H43" s="17" t="s">
        <v>133</v>
      </c>
      <c r="I43" s="17"/>
      <c r="J43" s="17"/>
    </row>
    <row r="44" spans="1:10" x14ac:dyDescent="0.45">
      <c r="A44" t="s">
        <v>77</v>
      </c>
      <c r="B44" s="17" t="s">
        <v>55</v>
      </c>
      <c r="C44">
        <v>2010</v>
      </c>
      <c r="D44" s="20" t="s">
        <v>84</v>
      </c>
      <c r="E44">
        <v>0.36000000000000004</v>
      </c>
      <c r="F44" t="s">
        <v>82</v>
      </c>
      <c r="G44" t="s">
        <v>27</v>
      </c>
      <c r="H44" s="17" t="s">
        <v>133</v>
      </c>
      <c r="I44" s="17"/>
      <c r="J44" s="17"/>
    </row>
    <row r="45" spans="1:10" x14ac:dyDescent="0.45">
      <c r="A45" t="s">
        <v>77</v>
      </c>
      <c r="B45" s="17" t="s">
        <v>86</v>
      </c>
      <c r="C45">
        <v>2010</v>
      </c>
      <c r="D45" s="20" t="s">
        <v>84</v>
      </c>
      <c r="E45">
        <v>156.19999999999999</v>
      </c>
      <c r="F45" t="s">
        <v>82</v>
      </c>
      <c r="G45" t="s">
        <v>27</v>
      </c>
      <c r="H45" s="17" t="s">
        <v>133</v>
      </c>
      <c r="I45" s="17"/>
      <c r="J45" s="17"/>
    </row>
    <row r="46" spans="1:10" x14ac:dyDescent="0.45">
      <c r="A46" t="s">
        <v>78</v>
      </c>
      <c r="B46" s="17" t="s">
        <v>80</v>
      </c>
      <c r="C46">
        <v>2010</v>
      </c>
      <c r="D46" s="20" t="s">
        <v>84</v>
      </c>
      <c r="E46">
        <v>5</v>
      </c>
      <c r="F46" t="s">
        <v>82</v>
      </c>
      <c r="G46" t="s">
        <v>27</v>
      </c>
      <c r="H46" s="17" t="s">
        <v>133</v>
      </c>
      <c r="I46" s="17"/>
      <c r="J46" s="17"/>
    </row>
    <row r="47" spans="1:10" x14ac:dyDescent="0.45">
      <c r="A47" t="s">
        <v>78</v>
      </c>
      <c r="B47" s="17" t="s">
        <v>55</v>
      </c>
      <c r="C47">
        <v>2010</v>
      </c>
      <c r="D47" s="20" t="s">
        <v>84</v>
      </c>
      <c r="E47">
        <v>0.36000000000000004</v>
      </c>
      <c r="F47" t="s">
        <v>82</v>
      </c>
      <c r="G47" t="s">
        <v>27</v>
      </c>
      <c r="H47" s="17" t="s">
        <v>133</v>
      </c>
      <c r="I47" s="17"/>
      <c r="J47" s="17"/>
    </row>
    <row r="48" spans="1:10" x14ac:dyDescent="0.45">
      <c r="A48" t="s">
        <v>78</v>
      </c>
      <c r="B48" s="17" t="s">
        <v>86</v>
      </c>
      <c r="C48">
        <v>2010</v>
      </c>
      <c r="D48" s="20" t="s">
        <v>84</v>
      </c>
      <c r="E48">
        <v>156.19999999999999</v>
      </c>
      <c r="F48" t="s">
        <v>82</v>
      </c>
      <c r="G48" t="s">
        <v>27</v>
      </c>
      <c r="H48" s="17" t="s">
        <v>133</v>
      </c>
      <c r="I48" s="17"/>
      <c r="J48" s="17"/>
    </row>
    <row r="49" spans="1:14" x14ac:dyDescent="0.45">
      <c r="A49" t="s">
        <v>79</v>
      </c>
      <c r="B49" s="17" t="s">
        <v>80</v>
      </c>
      <c r="C49">
        <v>2010</v>
      </c>
      <c r="D49" s="20" t="s">
        <v>84</v>
      </c>
      <c r="E49">
        <v>6.2</v>
      </c>
      <c r="F49" t="s">
        <v>82</v>
      </c>
      <c r="G49" t="s">
        <v>27</v>
      </c>
      <c r="H49" s="17" t="s">
        <v>132</v>
      </c>
      <c r="I49" s="17"/>
      <c r="J49" s="17"/>
    </row>
    <row r="50" spans="1:14" x14ac:dyDescent="0.45">
      <c r="A50" t="s">
        <v>79</v>
      </c>
      <c r="B50" s="17" t="s">
        <v>55</v>
      </c>
      <c r="C50">
        <v>2010</v>
      </c>
      <c r="D50" s="20" t="s">
        <v>84</v>
      </c>
      <c r="E50">
        <v>34.700000000000003</v>
      </c>
      <c r="F50" t="s">
        <v>82</v>
      </c>
      <c r="G50" t="s">
        <v>27</v>
      </c>
      <c r="H50" s="17" t="s">
        <v>132</v>
      </c>
      <c r="I50" s="17"/>
      <c r="J50" s="17"/>
    </row>
    <row r="51" spans="1:14" x14ac:dyDescent="0.45">
      <c r="A51" t="s">
        <v>79</v>
      </c>
      <c r="B51" s="17" t="s">
        <v>56</v>
      </c>
      <c r="C51">
        <v>2010</v>
      </c>
      <c r="D51" s="20" t="s">
        <v>84</v>
      </c>
      <c r="E51">
        <v>20.9</v>
      </c>
      <c r="F51" t="s">
        <v>82</v>
      </c>
      <c r="G51" t="s">
        <v>27</v>
      </c>
      <c r="H51" s="17" t="s">
        <v>132</v>
      </c>
      <c r="I51" s="17"/>
      <c r="J51" s="17"/>
    </row>
    <row r="52" spans="1:14" x14ac:dyDescent="0.45">
      <c r="A52" t="s">
        <v>79</v>
      </c>
      <c r="B52" s="17" t="s">
        <v>86</v>
      </c>
      <c r="C52">
        <v>2010</v>
      </c>
      <c r="D52" s="20" t="s">
        <v>84</v>
      </c>
      <c r="E52">
        <v>156.19999999999999</v>
      </c>
      <c r="F52" t="s">
        <v>82</v>
      </c>
      <c r="G52" t="s">
        <v>27</v>
      </c>
      <c r="H52" s="17" t="s">
        <v>132</v>
      </c>
      <c r="I52" s="17"/>
      <c r="J52" s="17"/>
    </row>
    <row r="53" spans="1:14" x14ac:dyDescent="0.45">
      <c r="A53" t="s">
        <v>136</v>
      </c>
      <c r="B53" s="17" t="s">
        <v>80</v>
      </c>
      <c r="C53">
        <v>2010</v>
      </c>
      <c r="D53" s="20" t="s">
        <v>84</v>
      </c>
      <c r="E53">
        <v>5</v>
      </c>
      <c r="F53" t="s">
        <v>82</v>
      </c>
      <c r="G53" t="s">
        <v>27</v>
      </c>
      <c r="H53" s="17" t="s">
        <v>156</v>
      </c>
      <c r="I53" s="17"/>
      <c r="J53" s="17"/>
    </row>
    <row r="54" spans="1:14" x14ac:dyDescent="0.45">
      <c r="A54" t="s">
        <v>137</v>
      </c>
      <c r="B54" s="17" t="s">
        <v>80</v>
      </c>
      <c r="C54">
        <v>2010</v>
      </c>
      <c r="D54" s="20" t="s">
        <v>84</v>
      </c>
      <c r="E54">
        <v>5</v>
      </c>
      <c r="F54" t="s">
        <v>82</v>
      </c>
      <c r="G54" t="s">
        <v>27</v>
      </c>
      <c r="H54" s="17" t="s">
        <v>156</v>
      </c>
      <c r="I54" s="17"/>
      <c r="J54" s="17"/>
    </row>
    <row r="55" spans="1:14" x14ac:dyDescent="0.45">
      <c r="A55" t="s">
        <v>138</v>
      </c>
      <c r="B55" s="17" t="s">
        <v>80</v>
      </c>
      <c r="C55">
        <v>2010</v>
      </c>
      <c r="D55" s="20" t="s">
        <v>84</v>
      </c>
      <c r="E55">
        <v>5</v>
      </c>
      <c r="F55" t="s">
        <v>82</v>
      </c>
      <c r="G55" t="s">
        <v>27</v>
      </c>
      <c r="H55" s="17" t="s">
        <v>156</v>
      </c>
      <c r="I55" s="17"/>
      <c r="J55" s="17"/>
    </row>
    <row r="56" spans="1:14" x14ac:dyDescent="0.45">
      <c r="A56" t="s">
        <v>139</v>
      </c>
      <c r="B56" s="17" t="s">
        <v>80</v>
      </c>
      <c r="C56">
        <v>2010</v>
      </c>
      <c r="D56" s="20" t="s">
        <v>84</v>
      </c>
      <c r="E56">
        <v>5</v>
      </c>
      <c r="F56" t="s">
        <v>82</v>
      </c>
      <c r="G56" t="s">
        <v>27</v>
      </c>
      <c r="H56" s="17" t="s">
        <v>156</v>
      </c>
      <c r="I56" s="17"/>
      <c r="J56" s="17"/>
    </row>
    <row r="57" spans="1:14" x14ac:dyDescent="0.45">
      <c r="A57" t="s">
        <v>140</v>
      </c>
      <c r="B57" s="17" t="s">
        <v>80</v>
      </c>
      <c r="C57">
        <v>2010</v>
      </c>
      <c r="D57" s="20" t="s">
        <v>84</v>
      </c>
      <c r="E57">
        <v>5</v>
      </c>
      <c r="F57" t="s">
        <v>82</v>
      </c>
      <c r="G57" t="s">
        <v>27</v>
      </c>
      <c r="H57" s="17" t="s">
        <v>156</v>
      </c>
      <c r="I57" s="17"/>
      <c r="J57" s="17"/>
    </row>
    <row r="58" spans="1:14" x14ac:dyDescent="0.45">
      <c r="A58" t="s">
        <v>141</v>
      </c>
      <c r="B58" s="17" t="s">
        <v>80</v>
      </c>
      <c r="C58">
        <v>2010</v>
      </c>
      <c r="D58" s="20" t="s">
        <v>84</v>
      </c>
      <c r="E58">
        <v>5</v>
      </c>
      <c r="F58" t="s">
        <v>82</v>
      </c>
      <c r="G58" t="s">
        <v>27</v>
      </c>
      <c r="H58" s="17" t="s">
        <v>156</v>
      </c>
      <c r="I58" s="17"/>
      <c r="J58" s="17"/>
    </row>
    <row r="59" spans="1:14" x14ac:dyDescent="0.45">
      <c r="A59" t="s">
        <v>142</v>
      </c>
      <c r="B59" s="17" t="s">
        <v>80</v>
      </c>
      <c r="C59">
        <v>2010</v>
      </c>
      <c r="D59" s="20" t="s">
        <v>84</v>
      </c>
      <c r="E59">
        <v>5</v>
      </c>
      <c r="F59" t="s">
        <v>82</v>
      </c>
      <c r="G59" t="s">
        <v>27</v>
      </c>
      <c r="H59" s="17" t="s">
        <v>156</v>
      </c>
      <c r="I59" s="17"/>
      <c r="J59" s="17"/>
      <c r="M59" s="17"/>
    </row>
    <row r="60" spans="1:14" x14ac:dyDescent="0.45">
      <c r="A60" t="s">
        <v>143</v>
      </c>
      <c r="B60" s="17" t="s">
        <v>80</v>
      </c>
      <c r="C60">
        <v>2010</v>
      </c>
      <c r="D60" s="20" t="s">
        <v>84</v>
      </c>
      <c r="E60">
        <v>5</v>
      </c>
      <c r="F60" t="s">
        <v>82</v>
      </c>
      <c r="G60" t="s">
        <v>27</v>
      </c>
      <c r="H60" s="17" t="s">
        <v>156</v>
      </c>
      <c r="I60" s="17"/>
      <c r="J60" s="17"/>
      <c r="M60" s="17"/>
    </row>
    <row r="61" spans="1:14" x14ac:dyDescent="0.45">
      <c r="A61" t="s">
        <v>144</v>
      </c>
      <c r="B61" s="17" t="s">
        <v>80</v>
      </c>
      <c r="C61">
        <v>2010</v>
      </c>
      <c r="D61" s="20" t="s">
        <v>84</v>
      </c>
      <c r="E61">
        <v>5</v>
      </c>
      <c r="F61" t="s">
        <v>82</v>
      </c>
      <c r="G61" t="s">
        <v>27</v>
      </c>
      <c r="H61" s="17" t="s">
        <v>156</v>
      </c>
      <c r="I61" s="17"/>
      <c r="J61" s="17"/>
      <c r="M61" s="17"/>
    </row>
    <row r="62" spans="1:14" x14ac:dyDescent="0.45">
      <c r="A62" t="s">
        <v>145</v>
      </c>
      <c r="B62" s="17" t="s">
        <v>80</v>
      </c>
      <c r="C62">
        <v>2010</v>
      </c>
      <c r="D62" s="20" t="s">
        <v>84</v>
      </c>
      <c r="E62">
        <v>5</v>
      </c>
      <c r="F62" t="s">
        <v>82</v>
      </c>
      <c r="G62" t="s">
        <v>27</v>
      </c>
      <c r="H62" s="17" t="s">
        <v>156</v>
      </c>
      <c r="I62" s="17"/>
      <c r="J62" s="17"/>
      <c r="M62" s="17"/>
      <c r="N62" s="17"/>
    </row>
    <row r="63" spans="1:14" x14ac:dyDescent="0.45">
      <c r="A63" t="s">
        <v>146</v>
      </c>
      <c r="B63" s="17" t="s">
        <v>80</v>
      </c>
      <c r="C63">
        <v>2010</v>
      </c>
      <c r="D63" s="20" t="s">
        <v>84</v>
      </c>
      <c r="E63">
        <v>5</v>
      </c>
      <c r="F63" t="s">
        <v>82</v>
      </c>
      <c r="G63" t="s">
        <v>27</v>
      </c>
      <c r="H63" s="17" t="s">
        <v>156</v>
      </c>
      <c r="I63" s="17"/>
      <c r="J63" s="17"/>
      <c r="M63" s="17"/>
      <c r="N63" s="17"/>
    </row>
    <row r="64" spans="1:14" x14ac:dyDescent="0.45">
      <c r="A64" t="s">
        <v>147</v>
      </c>
      <c r="B64" s="17" t="s">
        <v>80</v>
      </c>
      <c r="C64">
        <v>2010</v>
      </c>
      <c r="D64" s="20" t="s">
        <v>84</v>
      </c>
      <c r="E64">
        <v>5</v>
      </c>
      <c r="F64" t="s">
        <v>82</v>
      </c>
      <c r="G64" t="s">
        <v>27</v>
      </c>
      <c r="H64" s="17" t="s">
        <v>156</v>
      </c>
      <c r="I64" s="17"/>
      <c r="J64" s="17"/>
      <c r="M64" s="17"/>
      <c r="N64" s="17"/>
    </row>
    <row r="65" spans="1:14" x14ac:dyDescent="0.45">
      <c r="A65" t="s">
        <v>148</v>
      </c>
      <c r="B65" s="17" t="s">
        <v>80</v>
      </c>
      <c r="C65">
        <v>2010</v>
      </c>
      <c r="D65" s="20" t="s">
        <v>84</v>
      </c>
      <c r="E65">
        <v>5</v>
      </c>
      <c r="F65" t="s">
        <v>82</v>
      </c>
      <c r="G65" t="s">
        <v>27</v>
      </c>
      <c r="H65" s="17" t="s">
        <v>156</v>
      </c>
      <c r="I65" s="17"/>
      <c r="J65" s="17"/>
      <c r="M65" s="17"/>
      <c r="N65" s="17"/>
    </row>
    <row r="66" spans="1:14" x14ac:dyDescent="0.45">
      <c r="A66" s="21" t="s">
        <v>149</v>
      </c>
      <c r="B66" s="17" t="s">
        <v>80</v>
      </c>
      <c r="C66">
        <v>2010</v>
      </c>
      <c r="D66" s="20" t="s">
        <v>84</v>
      </c>
      <c r="E66">
        <v>5</v>
      </c>
      <c r="F66" t="s">
        <v>82</v>
      </c>
      <c r="G66" t="s">
        <v>27</v>
      </c>
      <c r="H66" s="17" t="s">
        <v>156</v>
      </c>
      <c r="I66" s="17"/>
      <c r="J66" s="17"/>
      <c r="M66" s="17"/>
      <c r="N66" s="17"/>
    </row>
    <row r="67" spans="1:14" x14ac:dyDescent="0.45">
      <c r="A67" s="21" t="s">
        <v>150</v>
      </c>
      <c r="B67" s="17" t="s">
        <v>80</v>
      </c>
      <c r="C67">
        <v>2010</v>
      </c>
      <c r="D67" s="20" t="s">
        <v>84</v>
      </c>
      <c r="E67">
        <v>5</v>
      </c>
      <c r="F67" t="s">
        <v>82</v>
      </c>
      <c r="G67" t="s">
        <v>27</v>
      </c>
      <c r="H67" s="17" t="s">
        <v>156</v>
      </c>
      <c r="I67" s="17"/>
      <c r="J67" s="17"/>
      <c r="M67" s="17"/>
      <c r="N67" s="17"/>
    </row>
    <row r="68" spans="1:14" x14ac:dyDescent="0.45">
      <c r="A68" s="21" t="s">
        <v>151</v>
      </c>
      <c r="B68" s="17" t="s">
        <v>80</v>
      </c>
      <c r="C68">
        <v>2010</v>
      </c>
      <c r="D68" s="20" t="s">
        <v>84</v>
      </c>
      <c r="E68">
        <v>5</v>
      </c>
      <c r="F68" t="s">
        <v>82</v>
      </c>
      <c r="G68" t="s">
        <v>27</v>
      </c>
      <c r="H68" s="17" t="s">
        <v>156</v>
      </c>
      <c r="I68" s="17"/>
      <c r="J68" s="17"/>
      <c r="K68" s="17"/>
      <c r="N68" s="17"/>
    </row>
    <row r="69" spans="1:14" x14ac:dyDescent="0.45">
      <c r="A69" s="21" t="s">
        <v>158</v>
      </c>
      <c r="B69" s="17" t="s">
        <v>80</v>
      </c>
      <c r="C69">
        <v>2010</v>
      </c>
      <c r="D69" s="20" t="s">
        <v>84</v>
      </c>
      <c r="E69">
        <v>5</v>
      </c>
      <c r="F69" t="s">
        <v>82</v>
      </c>
      <c r="G69" t="s">
        <v>27</v>
      </c>
      <c r="H69" s="17" t="s">
        <v>156</v>
      </c>
      <c r="I69" s="17"/>
      <c r="J69" s="17"/>
      <c r="K69" s="17"/>
      <c r="N69" s="17"/>
    </row>
    <row r="70" spans="1:14" x14ac:dyDescent="0.45">
      <c r="A70" s="21" t="s">
        <v>159</v>
      </c>
      <c r="B70" s="17" t="s">
        <v>80</v>
      </c>
      <c r="C70">
        <v>2010</v>
      </c>
      <c r="D70" s="20" t="s">
        <v>84</v>
      </c>
      <c r="E70">
        <v>5</v>
      </c>
      <c r="F70" t="s">
        <v>82</v>
      </c>
      <c r="G70" t="s">
        <v>27</v>
      </c>
      <c r="H70" s="17" t="s">
        <v>156</v>
      </c>
      <c r="I70" s="17"/>
      <c r="J70" s="17"/>
      <c r="K70" s="17"/>
      <c r="N70" s="17"/>
    </row>
    <row r="71" spans="1:14" x14ac:dyDescent="0.45">
      <c r="A71" s="21" t="s">
        <v>160</v>
      </c>
      <c r="B71" s="17" t="s">
        <v>80</v>
      </c>
      <c r="C71">
        <v>2010</v>
      </c>
      <c r="D71" s="20" t="s">
        <v>84</v>
      </c>
      <c r="E71">
        <v>5</v>
      </c>
      <c r="F71" t="s">
        <v>82</v>
      </c>
      <c r="G71" t="s">
        <v>27</v>
      </c>
      <c r="H71" s="17" t="s">
        <v>156</v>
      </c>
      <c r="I71" s="17"/>
      <c r="J71" s="17"/>
      <c r="K71" s="17"/>
      <c r="N71" s="17"/>
    </row>
    <row r="72" spans="1:14" x14ac:dyDescent="0.45">
      <c r="A72" s="21" t="s">
        <v>161</v>
      </c>
      <c r="B72" s="17" t="s">
        <v>80</v>
      </c>
      <c r="C72">
        <v>2010</v>
      </c>
      <c r="D72" s="20" t="s">
        <v>84</v>
      </c>
      <c r="E72">
        <v>5</v>
      </c>
      <c r="F72" t="s">
        <v>82</v>
      </c>
      <c r="G72" t="s">
        <v>27</v>
      </c>
      <c r="H72" s="17" t="s">
        <v>156</v>
      </c>
      <c r="I72" s="17"/>
      <c r="J72" s="17"/>
      <c r="K72" s="17"/>
      <c r="N72" s="17"/>
    </row>
    <row r="73" spans="1:14" x14ac:dyDescent="0.45">
      <c r="A73" s="21" t="s">
        <v>152</v>
      </c>
      <c r="B73" s="17" t="s">
        <v>80</v>
      </c>
      <c r="C73">
        <v>2010</v>
      </c>
      <c r="D73" s="20" t="s">
        <v>84</v>
      </c>
      <c r="E73">
        <v>5</v>
      </c>
      <c r="F73" t="s">
        <v>82</v>
      </c>
      <c r="G73" t="s">
        <v>27</v>
      </c>
      <c r="H73" s="17" t="s">
        <v>156</v>
      </c>
      <c r="I73" s="17"/>
      <c r="J73" s="17"/>
      <c r="K73" s="17"/>
      <c r="N73" s="17"/>
    </row>
    <row r="74" spans="1:14" x14ac:dyDescent="0.45">
      <c r="A74" s="21" t="s">
        <v>153</v>
      </c>
      <c r="B74" s="17" t="s">
        <v>80</v>
      </c>
      <c r="C74">
        <v>2010</v>
      </c>
      <c r="D74" s="20" t="s">
        <v>84</v>
      </c>
      <c r="E74">
        <v>5</v>
      </c>
      <c r="F74" t="s">
        <v>82</v>
      </c>
      <c r="G74" t="s">
        <v>27</v>
      </c>
      <c r="H74" s="17" t="s">
        <v>156</v>
      </c>
      <c r="I74" s="17"/>
      <c r="J74" s="17"/>
      <c r="K74" s="17"/>
      <c r="N74" s="17"/>
    </row>
    <row r="75" spans="1:14" x14ac:dyDescent="0.45">
      <c r="A75" s="21" t="s">
        <v>154</v>
      </c>
      <c r="B75" s="17" t="s">
        <v>80</v>
      </c>
      <c r="C75">
        <v>2010</v>
      </c>
      <c r="D75" s="20" t="s">
        <v>84</v>
      </c>
      <c r="E75">
        <v>5</v>
      </c>
      <c r="F75" t="s">
        <v>82</v>
      </c>
      <c r="G75" t="s">
        <v>27</v>
      </c>
      <c r="H75" s="17" t="s">
        <v>156</v>
      </c>
      <c r="I75" s="17"/>
      <c r="J75" s="17"/>
      <c r="K75" s="17"/>
      <c r="N75" s="17"/>
    </row>
    <row r="76" spans="1:14" x14ac:dyDescent="0.45">
      <c r="A76" s="21" t="s">
        <v>155</v>
      </c>
      <c r="B76" s="17" t="s">
        <v>80</v>
      </c>
      <c r="C76">
        <v>2010</v>
      </c>
      <c r="D76" s="20" t="s">
        <v>84</v>
      </c>
      <c r="E76">
        <v>5</v>
      </c>
      <c r="F76" t="s">
        <v>82</v>
      </c>
      <c r="G76" t="s">
        <v>27</v>
      </c>
      <c r="H76" s="17" t="s">
        <v>156</v>
      </c>
      <c r="I76" s="17"/>
      <c r="J76" s="17"/>
      <c r="K76" s="17"/>
      <c r="N76" s="17"/>
    </row>
    <row r="77" spans="1:14" x14ac:dyDescent="0.45">
      <c r="A77" t="s">
        <v>136</v>
      </c>
      <c r="B77" s="17" t="s">
        <v>55</v>
      </c>
      <c r="C77">
        <v>2010</v>
      </c>
      <c r="D77" s="20" t="s">
        <v>84</v>
      </c>
      <c r="E77">
        <v>0.36000000000000004</v>
      </c>
      <c r="F77" t="s">
        <v>82</v>
      </c>
      <c r="G77" t="s">
        <v>27</v>
      </c>
      <c r="H77" s="17" t="s">
        <v>156</v>
      </c>
      <c r="I77" s="17"/>
      <c r="J77" s="17"/>
      <c r="K77" s="17"/>
      <c r="N77" s="17"/>
    </row>
    <row r="78" spans="1:14" x14ac:dyDescent="0.45">
      <c r="A78" t="s">
        <v>137</v>
      </c>
      <c r="B78" s="17" t="s">
        <v>55</v>
      </c>
      <c r="C78">
        <v>2010</v>
      </c>
      <c r="D78" s="20" t="s">
        <v>84</v>
      </c>
      <c r="E78">
        <v>0.36000000000000004</v>
      </c>
      <c r="F78" t="s">
        <v>82</v>
      </c>
      <c r="G78" t="s">
        <v>27</v>
      </c>
      <c r="H78" s="17" t="s">
        <v>156</v>
      </c>
      <c r="I78" s="17"/>
      <c r="J78" s="17"/>
      <c r="K78" s="17"/>
      <c r="N78" s="17"/>
    </row>
    <row r="79" spans="1:14" x14ac:dyDescent="0.45">
      <c r="A79" t="s">
        <v>138</v>
      </c>
      <c r="B79" s="17" t="s">
        <v>55</v>
      </c>
      <c r="C79">
        <v>2010</v>
      </c>
      <c r="D79" s="20" t="s">
        <v>84</v>
      </c>
      <c r="E79">
        <v>0.36</v>
      </c>
      <c r="F79" t="s">
        <v>82</v>
      </c>
      <c r="G79" t="s">
        <v>27</v>
      </c>
      <c r="H79" s="17" t="s">
        <v>156</v>
      </c>
      <c r="I79" s="17"/>
      <c r="J79" s="17"/>
      <c r="K79" s="17"/>
    </row>
    <row r="80" spans="1:14" x14ac:dyDescent="0.45">
      <c r="A80" t="s">
        <v>139</v>
      </c>
      <c r="B80" s="17" t="s">
        <v>55</v>
      </c>
      <c r="C80">
        <v>2010</v>
      </c>
      <c r="D80" s="20" t="s">
        <v>84</v>
      </c>
      <c r="E80">
        <v>0.36</v>
      </c>
      <c r="F80" t="s">
        <v>82</v>
      </c>
      <c r="G80" t="s">
        <v>27</v>
      </c>
      <c r="H80" s="17" t="s">
        <v>156</v>
      </c>
      <c r="I80" s="17"/>
      <c r="J80" s="17"/>
      <c r="K80" s="17"/>
    </row>
    <row r="81" spans="1:11" x14ac:dyDescent="0.45">
      <c r="A81" t="s">
        <v>140</v>
      </c>
      <c r="B81" s="17" t="s">
        <v>55</v>
      </c>
      <c r="C81">
        <v>2010</v>
      </c>
      <c r="D81" s="20" t="s">
        <v>84</v>
      </c>
      <c r="E81">
        <v>0.36</v>
      </c>
      <c r="F81" t="s">
        <v>82</v>
      </c>
      <c r="G81" t="s">
        <v>27</v>
      </c>
      <c r="H81" s="17" t="s">
        <v>156</v>
      </c>
      <c r="I81" s="17"/>
      <c r="J81" s="17"/>
      <c r="K81" s="17"/>
    </row>
    <row r="82" spans="1:11" x14ac:dyDescent="0.45">
      <c r="A82" t="s">
        <v>141</v>
      </c>
      <c r="B82" s="17" t="s">
        <v>55</v>
      </c>
      <c r="C82">
        <v>2010</v>
      </c>
      <c r="D82" s="20" t="s">
        <v>84</v>
      </c>
      <c r="E82">
        <v>0.36</v>
      </c>
      <c r="F82" t="s">
        <v>82</v>
      </c>
      <c r="G82" t="s">
        <v>27</v>
      </c>
      <c r="H82" s="17" t="s">
        <v>156</v>
      </c>
      <c r="I82" s="17"/>
      <c r="J82" s="17"/>
      <c r="K82" s="17"/>
    </row>
    <row r="83" spans="1:11" x14ac:dyDescent="0.45">
      <c r="A83" t="s">
        <v>142</v>
      </c>
      <c r="B83" s="17" t="s">
        <v>55</v>
      </c>
      <c r="C83">
        <v>2010</v>
      </c>
      <c r="D83" s="20" t="s">
        <v>84</v>
      </c>
      <c r="E83">
        <v>0.36</v>
      </c>
      <c r="F83" t="s">
        <v>82</v>
      </c>
      <c r="G83" t="s">
        <v>27</v>
      </c>
      <c r="H83" s="17" t="s">
        <v>156</v>
      </c>
      <c r="I83" s="17"/>
      <c r="J83" s="17"/>
      <c r="K83" s="17"/>
    </row>
    <row r="84" spans="1:11" x14ac:dyDescent="0.45">
      <c r="A84" t="s">
        <v>143</v>
      </c>
      <c r="B84" s="17" t="s">
        <v>55</v>
      </c>
      <c r="C84">
        <v>2010</v>
      </c>
      <c r="D84" s="20" t="s">
        <v>84</v>
      </c>
      <c r="E84">
        <v>0.36</v>
      </c>
      <c r="F84" t="s">
        <v>82</v>
      </c>
      <c r="G84" t="s">
        <v>27</v>
      </c>
      <c r="H84" s="17" t="s">
        <v>156</v>
      </c>
      <c r="I84" s="17"/>
      <c r="J84" s="17"/>
      <c r="K84" s="17"/>
    </row>
    <row r="85" spans="1:11" x14ac:dyDescent="0.45">
      <c r="A85" t="s">
        <v>144</v>
      </c>
      <c r="B85" s="17" t="s">
        <v>55</v>
      </c>
      <c r="C85">
        <v>2010</v>
      </c>
      <c r="D85" s="20" t="s">
        <v>84</v>
      </c>
      <c r="E85">
        <v>0.36</v>
      </c>
      <c r="F85" t="s">
        <v>82</v>
      </c>
      <c r="G85" t="s">
        <v>27</v>
      </c>
      <c r="H85" s="17" t="s">
        <v>156</v>
      </c>
      <c r="I85" s="17"/>
      <c r="J85" s="17"/>
      <c r="K85" s="17"/>
    </row>
    <row r="86" spans="1:11" x14ac:dyDescent="0.45">
      <c r="A86" t="s">
        <v>145</v>
      </c>
      <c r="B86" s="17" t="s">
        <v>55</v>
      </c>
      <c r="C86">
        <v>2010</v>
      </c>
      <c r="D86" s="20" t="s">
        <v>84</v>
      </c>
      <c r="E86">
        <v>0.36</v>
      </c>
      <c r="F86" t="s">
        <v>82</v>
      </c>
      <c r="G86" t="s">
        <v>27</v>
      </c>
      <c r="H86" s="17" t="s">
        <v>156</v>
      </c>
      <c r="I86" s="17"/>
      <c r="J86" s="17"/>
      <c r="K86" s="17"/>
    </row>
    <row r="87" spans="1:11" x14ac:dyDescent="0.45">
      <c r="A87" t="s">
        <v>146</v>
      </c>
      <c r="B87" s="17" t="s">
        <v>55</v>
      </c>
      <c r="C87">
        <v>2010</v>
      </c>
      <c r="D87" s="20" t="s">
        <v>84</v>
      </c>
      <c r="E87">
        <v>0.36</v>
      </c>
      <c r="F87" t="s">
        <v>82</v>
      </c>
      <c r="G87" t="s">
        <v>27</v>
      </c>
      <c r="H87" s="17" t="s">
        <v>156</v>
      </c>
      <c r="I87" s="17"/>
      <c r="J87" s="17"/>
      <c r="K87" s="17"/>
    </row>
    <row r="88" spans="1:11" x14ac:dyDescent="0.45">
      <c r="A88" t="s">
        <v>147</v>
      </c>
      <c r="B88" s="17" t="s">
        <v>55</v>
      </c>
      <c r="C88">
        <v>2010</v>
      </c>
      <c r="D88" s="20" t="s">
        <v>84</v>
      </c>
      <c r="E88">
        <v>0.36</v>
      </c>
      <c r="F88" t="s">
        <v>82</v>
      </c>
      <c r="G88" t="s">
        <v>27</v>
      </c>
      <c r="H88" s="17" t="s">
        <v>156</v>
      </c>
      <c r="I88" s="17"/>
      <c r="J88" s="17"/>
      <c r="K88" s="17"/>
    </row>
    <row r="89" spans="1:11" x14ac:dyDescent="0.45">
      <c r="A89" t="s">
        <v>148</v>
      </c>
      <c r="B89" s="17" t="s">
        <v>55</v>
      </c>
      <c r="C89">
        <v>2010</v>
      </c>
      <c r="D89" s="20" t="s">
        <v>84</v>
      </c>
      <c r="E89">
        <v>0.36</v>
      </c>
      <c r="F89" t="s">
        <v>82</v>
      </c>
      <c r="G89" t="s">
        <v>27</v>
      </c>
      <c r="H89" s="17" t="s">
        <v>156</v>
      </c>
      <c r="I89" s="17"/>
      <c r="J89" s="17"/>
      <c r="K89" s="17"/>
    </row>
    <row r="90" spans="1:11" x14ac:dyDescent="0.45">
      <c r="A90" s="21" t="s">
        <v>149</v>
      </c>
      <c r="B90" s="17" t="s">
        <v>55</v>
      </c>
      <c r="C90">
        <v>2010</v>
      </c>
      <c r="D90" s="20" t="s">
        <v>84</v>
      </c>
      <c r="E90">
        <v>0.36</v>
      </c>
      <c r="F90" t="s">
        <v>82</v>
      </c>
      <c r="G90" t="s">
        <v>27</v>
      </c>
      <c r="H90" s="17" t="s">
        <v>156</v>
      </c>
      <c r="I90" s="17"/>
      <c r="J90" s="17"/>
      <c r="K90" s="17"/>
    </row>
    <row r="91" spans="1:11" x14ac:dyDescent="0.45">
      <c r="A91" s="21" t="s">
        <v>150</v>
      </c>
      <c r="B91" s="17" t="s">
        <v>55</v>
      </c>
      <c r="C91">
        <v>2010</v>
      </c>
      <c r="D91" s="20" t="s">
        <v>84</v>
      </c>
      <c r="E91">
        <v>0.36</v>
      </c>
      <c r="F91" t="s">
        <v>82</v>
      </c>
      <c r="G91" t="s">
        <v>27</v>
      </c>
      <c r="H91" s="17" t="s">
        <v>156</v>
      </c>
      <c r="I91" s="17"/>
      <c r="J91" s="17"/>
      <c r="K91" s="17"/>
    </row>
    <row r="92" spans="1:11" x14ac:dyDescent="0.45">
      <c r="A92" s="21" t="s">
        <v>151</v>
      </c>
      <c r="B92" s="17" t="s">
        <v>55</v>
      </c>
      <c r="C92">
        <v>2010</v>
      </c>
      <c r="D92" s="20" t="s">
        <v>84</v>
      </c>
      <c r="E92">
        <v>0.36</v>
      </c>
      <c r="F92" t="s">
        <v>82</v>
      </c>
      <c r="G92" t="s">
        <v>27</v>
      </c>
      <c r="H92" s="17" t="s">
        <v>156</v>
      </c>
      <c r="I92" s="17"/>
      <c r="J92" s="17"/>
      <c r="K92" s="17"/>
    </row>
    <row r="93" spans="1:11" x14ac:dyDescent="0.45">
      <c r="A93" s="21" t="s">
        <v>158</v>
      </c>
      <c r="B93" s="17" t="s">
        <v>55</v>
      </c>
      <c r="C93">
        <v>2010</v>
      </c>
      <c r="D93" s="20" t="s">
        <v>84</v>
      </c>
      <c r="E93">
        <v>0.36</v>
      </c>
      <c r="F93" t="s">
        <v>82</v>
      </c>
      <c r="G93" t="s">
        <v>27</v>
      </c>
      <c r="H93" s="17" t="s">
        <v>156</v>
      </c>
      <c r="I93" s="17"/>
      <c r="J93" s="17"/>
      <c r="K93" s="17"/>
    </row>
    <row r="94" spans="1:11" x14ac:dyDescent="0.45">
      <c r="A94" s="21" t="s">
        <v>159</v>
      </c>
      <c r="B94" s="17" t="s">
        <v>55</v>
      </c>
      <c r="C94">
        <v>2010</v>
      </c>
      <c r="D94" s="20" t="s">
        <v>84</v>
      </c>
      <c r="E94">
        <v>0.36</v>
      </c>
      <c r="F94" t="s">
        <v>82</v>
      </c>
      <c r="G94" t="s">
        <v>27</v>
      </c>
      <c r="H94" s="17" t="s">
        <v>156</v>
      </c>
      <c r="I94" s="17"/>
      <c r="J94" s="17"/>
    </row>
    <row r="95" spans="1:11" x14ac:dyDescent="0.45">
      <c r="A95" s="21" t="s">
        <v>160</v>
      </c>
      <c r="B95" s="17" t="s">
        <v>55</v>
      </c>
      <c r="C95">
        <v>2010</v>
      </c>
      <c r="D95" s="20" t="s">
        <v>84</v>
      </c>
      <c r="E95">
        <v>0.36</v>
      </c>
      <c r="F95" t="s">
        <v>82</v>
      </c>
      <c r="G95" t="s">
        <v>27</v>
      </c>
      <c r="H95" s="17" t="s">
        <v>156</v>
      </c>
      <c r="I95" s="17"/>
      <c r="J95" s="17"/>
    </row>
    <row r="96" spans="1:11" x14ac:dyDescent="0.45">
      <c r="A96" s="21" t="s">
        <v>161</v>
      </c>
      <c r="B96" s="17" t="s">
        <v>55</v>
      </c>
      <c r="C96">
        <v>2010</v>
      </c>
      <c r="D96" s="20" t="s">
        <v>84</v>
      </c>
      <c r="E96">
        <v>0.36</v>
      </c>
      <c r="F96" t="s">
        <v>82</v>
      </c>
      <c r="G96" t="s">
        <v>27</v>
      </c>
      <c r="H96" s="17" t="s">
        <v>156</v>
      </c>
      <c r="I96" s="17"/>
      <c r="J96" s="17"/>
    </row>
    <row r="97" spans="1:10" x14ac:dyDescent="0.45">
      <c r="A97" s="21" t="s">
        <v>152</v>
      </c>
      <c r="B97" s="17" t="s">
        <v>55</v>
      </c>
      <c r="C97">
        <v>2010</v>
      </c>
      <c r="D97" s="20" t="s">
        <v>84</v>
      </c>
      <c r="E97">
        <v>0.36</v>
      </c>
      <c r="F97" t="s">
        <v>82</v>
      </c>
      <c r="G97" t="s">
        <v>27</v>
      </c>
      <c r="H97" s="17" t="s">
        <v>156</v>
      </c>
      <c r="I97" s="17"/>
      <c r="J97" s="17"/>
    </row>
    <row r="98" spans="1:10" x14ac:dyDescent="0.45">
      <c r="A98" s="21" t="s">
        <v>153</v>
      </c>
      <c r="B98" s="17" t="s">
        <v>55</v>
      </c>
      <c r="C98">
        <v>2010</v>
      </c>
      <c r="D98" s="20" t="s">
        <v>84</v>
      </c>
      <c r="E98">
        <v>0.36</v>
      </c>
      <c r="F98" t="s">
        <v>82</v>
      </c>
      <c r="G98" t="s">
        <v>27</v>
      </c>
      <c r="H98" s="17" t="s">
        <v>156</v>
      </c>
      <c r="I98" s="17"/>
      <c r="J98" s="17"/>
    </row>
    <row r="99" spans="1:10" x14ac:dyDescent="0.45">
      <c r="A99" s="21" t="s">
        <v>154</v>
      </c>
      <c r="B99" s="17" t="s">
        <v>55</v>
      </c>
      <c r="C99">
        <v>2010</v>
      </c>
      <c r="D99" s="20" t="s">
        <v>84</v>
      </c>
      <c r="E99">
        <v>0.36</v>
      </c>
      <c r="F99" t="s">
        <v>82</v>
      </c>
      <c r="G99" t="s">
        <v>27</v>
      </c>
      <c r="H99" s="17" t="s">
        <v>156</v>
      </c>
      <c r="I99" s="17"/>
      <c r="J99" s="17"/>
    </row>
    <row r="100" spans="1:10" x14ac:dyDescent="0.45">
      <c r="A100" s="21" t="s">
        <v>155</v>
      </c>
      <c r="B100" s="17" t="s">
        <v>55</v>
      </c>
      <c r="C100">
        <v>2010</v>
      </c>
      <c r="D100" s="20" t="s">
        <v>84</v>
      </c>
      <c r="E100">
        <v>0.36</v>
      </c>
      <c r="F100" t="s">
        <v>82</v>
      </c>
      <c r="G100" t="s">
        <v>27</v>
      </c>
      <c r="H100" s="17" t="s">
        <v>156</v>
      </c>
      <c r="I100" s="17"/>
      <c r="J100" s="17"/>
    </row>
    <row r="101" spans="1:10" x14ac:dyDescent="0.45">
      <c r="A101" t="s">
        <v>136</v>
      </c>
      <c r="B101" s="17" t="s">
        <v>86</v>
      </c>
      <c r="C101">
        <v>2010</v>
      </c>
      <c r="D101" s="20" t="s">
        <v>84</v>
      </c>
      <c r="E101">
        <v>156.19999999999999</v>
      </c>
      <c r="F101" t="s">
        <v>82</v>
      </c>
      <c r="G101" t="s">
        <v>27</v>
      </c>
      <c r="H101" s="17" t="s">
        <v>156</v>
      </c>
      <c r="I101" s="17"/>
      <c r="J101" s="17"/>
    </row>
    <row r="102" spans="1:10" x14ac:dyDescent="0.45">
      <c r="A102" t="s">
        <v>137</v>
      </c>
      <c r="B102" s="17" t="s">
        <v>86</v>
      </c>
      <c r="C102">
        <v>2010</v>
      </c>
      <c r="D102" s="20" t="s">
        <v>84</v>
      </c>
      <c r="E102">
        <v>156.19999999999999</v>
      </c>
      <c r="F102" t="s">
        <v>82</v>
      </c>
      <c r="G102" t="s">
        <v>27</v>
      </c>
      <c r="H102" s="17" t="s">
        <v>156</v>
      </c>
      <c r="I102" s="17"/>
      <c r="J102" s="17"/>
    </row>
    <row r="103" spans="1:10" x14ac:dyDescent="0.45">
      <c r="A103" t="s">
        <v>138</v>
      </c>
      <c r="B103" s="17" t="s">
        <v>86</v>
      </c>
      <c r="C103">
        <v>2010</v>
      </c>
      <c r="D103" s="20" t="s">
        <v>84</v>
      </c>
      <c r="E103">
        <v>156.19999999999999</v>
      </c>
      <c r="F103" t="s">
        <v>82</v>
      </c>
      <c r="G103" t="s">
        <v>27</v>
      </c>
      <c r="H103" s="17" t="s">
        <v>156</v>
      </c>
      <c r="I103" s="17"/>
      <c r="J103" s="17"/>
    </row>
    <row r="104" spans="1:10" x14ac:dyDescent="0.45">
      <c r="A104" t="s">
        <v>139</v>
      </c>
      <c r="B104" s="17" t="s">
        <v>86</v>
      </c>
      <c r="C104">
        <v>2010</v>
      </c>
      <c r="D104" s="20" t="s">
        <v>84</v>
      </c>
      <c r="E104">
        <v>156.19999999999999</v>
      </c>
      <c r="F104" t="s">
        <v>82</v>
      </c>
      <c r="G104" t="s">
        <v>27</v>
      </c>
      <c r="H104" s="17" t="s">
        <v>156</v>
      </c>
      <c r="I104" s="17"/>
      <c r="J104" s="17"/>
    </row>
    <row r="105" spans="1:10" x14ac:dyDescent="0.45">
      <c r="A105" t="s">
        <v>140</v>
      </c>
      <c r="B105" s="17" t="s">
        <v>86</v>
      </c>
      <c r="C105">
        <v>2010</v>
      </c>
      <c r="D105" s="20" t="s">
        <v>84</v>
      </c>
      <c r="E105">
        <v>156.19999999999999</v>
      </c>
      <c r="F105" t="s">
        <v>82</v>
      </c>
      <c r="G105" t="s">
        <v>27</v>
      </c>
      <c r="H105" s="17" t="s">
        <v>156</v>
      </c>
      <c r="I105" s="17"/>
      <c r="J105" s="17"/>
    </row>
    <row r="106" spans="1:10" x14ac:dyDescent="0.45">
      <c r="A106" t="s">
        <v>141</v>
      </c>
      <c r="B106" s="17" t="s">
        <v>86</v>
      </c>
      <c r="C106">
        <v>2010</v>
      </c>
      <c r="D106" s="20" t="s">
        <v>84</v>
      </c>
      <c r="E106">
        <v>156.19999999999999</v>
      </c>
      <c r="F106" t="s">
        <v>82</v>
      </c>
      <c r="G106" t="s">
        <v>27</v>
      </c>
      <c r="H106" s="17" t="s">
        <v>156</v>
      </c>
      <c r="I106" s="17"/>
      <c r="J106" s="17"/>
    </row>
    <row r="107" spans="1:10" x14ac:dyDescent="0.45">
      <c r="A107" t="s">
        <v>142</v>
      </c>
      <c r="B107" s="17" t="s">
        <v>86</v>
      </c>
      <c r="C107">
        <v>2010</v>
      </c>
      <c r="D107" s="20" t="s">
        <v>84</v>
      </c>
      <c r="E107">
        <v>156.19999999999999</v>
      </c>
      <c r="F107" t="s">
        <v>82</v>
      </c>
      <c r="G107" t="s">
        <v>27</v>
      </c>
      <c r="H107" s="17" t="s">
        <v>156</v>
      </c>
      <c r="I107" s="17"/>
      <c r="J107" s="17"/>
    </row>
    <row r="108" spans="1:10" x14ac:dyDescent="0.45">
      <c r="A108" t="s">
        <v>143</v>
      </c>
      <c r="B108" s="17" t="s">
        <v>86</v>
      </c>
      <c r="C108">
        <v>2010</v>
      </c>
      <c r="D108" s="20" t="s">
        <v>84</v>
      </c>
      <c r="E108">
        <v>156.19999999999999</v>
      </c>
      <c r="F108" t="s">
        <v>82</v>
      </c>
      <c r="G108" t="s">
        <v>27</v>
      </c>
      <c r="H108" s="17" t="s">
        <v>156</v>
      </c>
      <c r="I108" s="17"/>
      <c r="J108" s="17"/>
    </row>
    <row r="109" spans="1:10" x14ac:dyDescent="0.45">
      <c r="A109" t="s">
        <v>144</v>
      </c>
      <c r="B109" s="17" t="s">
        <v>86</v>
      </c>
      <c r="C109">
        <v>2010</v>
      </c>
      <c r="D109" s="20" t="s">
        <v>84</v>
      </c>
      <c r="E109">
        <v>156.19999999999999</v>
      </c>
      <c r="F109" t="s">
        <v>82</v>
      </c>
      <c r="G109" t="s">
        <v>27</v>
      </c>
      <c r="H109" s="17" t="s">
        <v>156</v>
      </c>
      <c r="I109" s="17"/>
      <c r="J109" s="17"/>
    </row>
    <row r="110" spans="1:10" x14ac:dyDescent="0.45">
      <c r="A110" t="s">
        <v>145</v>
      </c>
      <c r="B110" s="17" t="s">
        <v>86</v>
      </c>
      <c r="C110">
        <v>2010</v>
      </c>
      <c r="D110" s="20" t="s">
        <v>84</v>
      </c>
      <c r="E110">
        <v>156.19999999999999</v>
      </c>
      <c r="F110" t="s">
        <v>82</v>
      </c>
      <c r="G110" t="s">
        <v>27</v>
      </c>
      <c r="H110" s="17" t="s">
        <v>156</v>
      </c>
      <c r="I110" s="17"/>
      <c r="J110" s="17"/>
    </row>
    <row r="111" spans="1:10" x14ac:dyDescent="0.45">
      <c r="A111" t="s">
        <v>146</v>
      </c>
      <c r="B111" s="17" t="s">
        <v>86</v>
      </c>
      <c r="C111">
        <v>2010</v>
      </c>
      <c r="D111" s="20" t="s">
        <v>84</v>
      </c>
      <c r="E111">
        <v>156.19999999999999</v>
      </c>
      <c r="F111" t="s">
        <v>82</v>
      </c>
      <c r="G111" t="s">
        <v>27</v>
      </c>
      <c r="H111" s="17" t="s">
        <v>156</v>
      </c>
      <c r="I111" s="17"/>
      <c r="J111" s="17"/>
    </row>
    <row r="112" spans="1:10" x14ac:dyDescent="0.45">
      <c r="A112" t="s">
        <v>147</v>
      </c>
      <c r="B112" s="17" t="s">
        <v>86</v>
      </c>
      <c r="C112">
        <v>2010</v>
      </c>
      <c r="D112" s="20" t="s">
        <v>84</v>
      </c>
      <c r="E112">
        <v>156.19999999999999</v>
      </c>
      <c r="F112" t="s">
        <v>82</v>
      </c>
      <c r="G112" t="s">
        <v>27</v>
      </c>
      <c r="H112" s="17" t="s">
        <v>156</v>
      </c>
      <c r="I112" s="17"/>
      <c r="J112" s="17"/>
    </row>
    <row r="113" spans="1:11" x14ac:dyDescent="0.45">
      <c r="A113" t="s">
        <v>148</v>
      </c>
      <c r="B113" s="17" t="s">
        <v>86</v>
      </c>
      <c r="C113">
        <v>2010</v>
      </c>
      <c r="D113" s="20" t="s">
        <v>84</v>
      </c>
      <c r="E113">
        <v>156.19999999999999</v>
      </c>
      <c r="F113" t="s">
        <v>82</v>
      </c>
      <c r="G113" t="s">
        <v>27</v>
      </c>
      <c r="H113" s="17" t="s">
        <v>156</v>
      </c>
      <c r="I113" s="17"/>
      <c r="J113" s="17"/>
    </row>
    <row r="114" spans="1:11" x14ac:dyDescent="0.45">
      <c r="A114" s="21" t="s">
        <v>149</v>
      </c>
      <c r="B114" s="17" t="s">
        <v>86</v>
      </c>
      <c r="C114">
        <v>2010</v>
      </c>
      <c r="D114" s="20" t="s">
        <v>84</v>
      </c>
      <c r="E114">
        <v>156.19999999999999</v>
      </c>
      <c r="F114" t="s">
        <v>82</v>
      </c>
      <c r="G114" t="s">
        <v>27</v>
      </c>
      <c r="H114" s="17" t="s">
        <v>156</v>
      </c>
      <c r="I114" s="17"/>
      <c r="J114" s="17"/>
    </row>
    <row r="115" spans="1:11" x14ac:dyDescent="0.45">
      <c r="A115" s="21" t="s">
        <v>150</v>
      </c>
      <c r="B115" s="17" t="s">
        <v>86</v>
      </c>
      <c r="C115">
        <v>2010</v>
      </c>
      <c r="D115" s="20" t="s">
        <v>84</v>
      </c>
      <c r="E115">
        <v>156.19999999999999</v>
      </c>
      <c r="F115" t="s">
        <v>82</v>
      </c>
      <c r="G115" t="s">
        <v>27</v>
      </c>
      <c r="H115" s="17" t="s">
        <v>156</v>
      </c>
      <c r="I115" s="17"/>
      <c r="J115" s="17"/>
    </row>
    <row r="116" spans="1:11" x14ac:dyDescent="0.45">
      <c r="A116" s="21" t="s">
        <v>151</v>
      </c>
      <c r="B116" s="17" t="s">
        <v>86</v>
      </c>
      <c r="C116">
        <v>2010</v>
      </c>
      <c r="D116" s="20" t="s">
        <v>84</v>
      </c>
      <c r="E116">
        <v>156.19999999999999</v>
      </c>
      <c r="F116" t="s">
        <v>82</v>
      </c>
      <c r="G116" t="s">
        <v>27</v>
      </c>
      <c r="H116" s="17" t="s">
        <v>156</v>
      </c>
      <c r="I116" s="17"/>
      <c r="J116" s="17"/>
    </row>
    <row r="117" spans="1:11" x14ac:dyDescent="0.45">
      <c r="A117" s="21" t="s">
        <v>158</v>
      </c>
      <c r="B117" s="17" t="s">
        <v>86</v>
      </c>
      <c r="C117">
        <v>2010</v>
      </c>
      <c r="D117" s="20" t="s">
        <v>84</v>
      </c>
      <c r="E117">
        <v>156.19999999999999</v>
      </c>
      <c r="F117" t="s">
        <v>82</v>
      </c>
      <c r="G117" t="s">
        <v>27</v>
      </c>
      <c r="H117" s="17" t="s">
        <v>156</v>
      </c>
      <c r="I117" s="17"/>
      <c r="J117" s="17"/>
    </row>
    <row r="118" spans="1:11" x14ac:dyDescent="0.45">
      <c r="A118" s="21" t="s">
        <v>159</v>
      </c>
      <c r="B118" s="17" t="s">
        <v>86</v>
      </c>
      <c r="C118">
        <v>2010</v>
      </c>
      <c r="D118" s="20" t="s">
        <v>84</v>
      </c>
      <c r="E118">
        <v>156.19999999999999</v>
      </c>
      <c r="F118" t="s">
        <v>82</v>
      </c>
      <c r="G118" t="s">
        <v>27</v>
      </c>
      <c r="H118" s="17" t="s">
        <v>156</v>
      </c>
      <c r="I118" s="17"/>
      <c r="J118" s="17"/>
    </row>
    <row r="119" spans="1:11" x14ac:dyDescent="0.45">
      <c r="A119" s="21" t="s">
        <v>160</v>
      </c>
      <c r="B119" s="17" t="s">
        <v>86</v>
      </c>
      <c r="C119">
        <v>2010</v>
      </c>
      <c r="D119" s="20" t="s">
        <v>84</v>
      </c>
      <c r="E119">
        <v>156.19999999999999</v>
      </c>
      <c r="F119" t="s">
        <v>82</v>
      </c>
      <c r="G119" t="s">
        <v>27</v>
      </c>
      <c r="H119" s="17" t="s">
        <v>156</v>
      </c>
      <c r="I119" s="17"/>
      <c r="J119" s="17"/>
    </row>
    <row r="120" spans="1:11" x14ac:dyDescent="0.45">
      <c r="A120" s="21" t="s">
        <v>161</v>
      </c>
      <c r="B120" s="17" t="s">
        <v>86</v>
      </c>
      <c r="C120">
        <v>2010</v>
      </c>
      <c r="D120" s="20" t="s">
        <v>84</v>
      </c>
      <c r="E120">
        <v>156.19999999999999</v>
      </c>
      <c r="F120" t="s">
        <v>82</v>
      </c>
      <c r="G120" t="s">
        <v>27</v>
      </c>
      <c r="H120" s="17" t="s">
        <v>156</v>
      </c>
      <c r="I120" s="17"/>
      <c r="J120" s="17"/>
    </row>
    <row r="121" spans="1:11" x14ac:dyDescent="0.45">
      <c r="A121" s="21" t="s">
        <v>152</v>
      </c>
      <c r="B121" s="17" t="s">
        <v>86</v>
      </c>
      <c r="C121">
        <v>2010</v>
      </c>
      <c r="D121" s="20" t="s">
        <v>84</v>
      </c>
      <c r="E121">
        <v>156.19999999999999</v>
      </c>
      <c r="F121" t="s">
        <v>82</v>
      </c>
      <c r="G121" t="s">
        <v>27</v>
      </c>
      <c r="H121" s="17" t="s">
        <v>156</v>
      </c>
      <c r="I121" s="17"/>
      <c r="J121" s="17"/>
    </row>
    <row r="122" spans="1:11" x14ac:dyDescent="0.45">
      <c r="A122" s="21" t="s">
        <v>153</v>
      </c>
      <c r="B122" s="17" t="s">
        <v>86</v>
      </c>
      <c r="C122">
        <v>2010</v>
      </c>
      <c r="D122" s="20" t="s">
        <v>84</v>
      </c>
      <c r="E122">
        <v>156.19999999999999</v>
      </c>
      <c r="F122" t="s">
        <v>82</v>
      </c>
      <c r="G122" t="s">
        <v>27</v>
      </c>
      <c r="H122" s="17" t="s">
        <v>156</v>
      </c>
      <c r="I122" s="17"/>
      <c r="J122" s="17"/>
    </row>
    <row r="123" spans="1:11" x14ac:dyDescent="0.45">
      <c r="A123" s="21" t="s">
        <v>154</v>
      </c>
      <c r="B123" s="17" t="s">
        <v>86</v>
      </c>
      <c r="C123">
        <v>2010</v>
      </c>
      <c r="D123" s="20" t="s">
        <v>84</v>
      </c>
      <c r="E123">
        <v>156.19999999999999</v>
      </c>
      <c r="F123" t="s">
        <v>82</v>
      </c>
      <c r="G123" t="s">
        <v>27</v>
      </c>
      <c r="H123" s="17" t="s">
        <v>156</v>
      </c>
      <c r="I123" s="17"/>
      <c r="J123" s="17"/>
    </row>
    <row r="124" spans="1:11" x14ac:dyDescent="0.45">
      <c r="A124" s="21" t="s">
        <v>155</v>
      </c>
      <c r="B124" s="17" t="s">
        <v>86</v>
      </c>
      <c r="C124">
        <v>2010</v>
      </c>
      <c r="D124" s="20" t="s">
        <v>84</v>
      </c>
      <c r="E124">
        <v>156.19999999999999</v>
      </c>
      <c r="F124" t="s">
        <v>82</v>
      </c>
      <c r="G124" t="s">
        <v>27</v>
      </c>
      <c r="H124" s="17" t="s">
        <v>156</v>
      </c>
      <c r="I124" s="17"/>
      <c r="J124" s="17"/>
    </row>
    <row r="125" spans="1:11" x14ac:dyDescent="0.45">
      <c r="A125" t="s">
        <v>162</v>
      </c>
      <c r="B125" s="17" t="s">
        <v>55</v>
      </c>
      <c r="C125">
        <v>2010</v>
      </c>
      <c r="D125" s="20" t="s">
        <v>84</v>
      </c>
      <c r="E125">
        <v>28980000</v>
      </c>
      <c r="F125" t="s">
        <v>163</v>
      </c>
      <c r="G125" t="s">
        <v>27</v>
      </c>
      <c r="H125" t="s">
        <v>257</v>
      </c>
      <c r="I125" s="17"/>
      <c r="J125" s="17"/>
    </row>
    <row r="126" spans="1:11" x14ac:dyDescent="0.45">
      <c r="A126" t="s">
        <v>164</v>
      </c>
      <c r="B126" s="17" t="s">
        <v>55</v>
      </c>
      <c r="C126">
        <v>2010</v>
      </c>
      <c r="D126" s="20" t="s">
        <v>84</v>
      </c>
      <c r="E126">
        <v>28980000</v>
      </c>
      <c r="F126" t="s">
        <v>163</v>
      </c>
      <c r="G126" t="s">
        <v>27</v>
      </c>
      <c r="H126" t="s">
        <v>257</v>
      </c>
      <c r="I126" s="17"/>
      <c r="J126" s="17"/>
    </row>
    <row r="127" spans="1:11" x14ac:dyDescent="0.45">
      <c r="A127" t="s">
        <v>165</v>
      </c>
      <c r="B127" s="17" t="s">
        <v>55</v>
      </c>
      <c r="C127">
        <v>2010</v>
      </c>
      <c r="D127" s="20" t="s">
        <v>84</v>
      </c>
      <c r="E127">
        <v>28980000</v>
      </c>
      <c r="F127" t="s">
        <v>163</v>
      </c>
      <c r="G127" t="s">
        <v>27</v>
      </c>
      <c r="H127" t="s">
        <v>258</v>
      </c>
      <c r="I127" s="17"/>
      <c r="J127" s="17"/>
      <c r="K127" s="17"/>
    </row>
    <row r="128" spans="1:11" x14ac:dyDescent="0.45">
      <c r="A128" t="s">
        <v>166</v>
      </c>
      <c r="B128" s="17" t="s">
        <v>55</v>
      </c>
      <c r="C128">
        <v>2010</v>
      </c>
      <c r="D128" s="20" t="s">
        <v>84</v>
      </c>
      <c r="E128">
        <v>28980000</v>
      </c>
      <c r="F128" t="s">
        <v>163</v>
      </c>
      <c r="G128" t="s">
        <v>27</v>
      </c>
      <c r="H128" t="s">
        <v>258</v>
      </c>
      <c r="I128" s="17"/>
      <c r="J128" s="17"/>
    </row>
    <row r="129" spans="1:10" x14ac:dyDescent="0.45">
      <c r="A129" t="s">
        <v>167</v>
      </c>
      <c r="B129" s="17" t="s">
        <v>55</v>
      </c>
      <c r="C129">
        <v>2010</v>
      </c>
      <c r="D129" s="20" t="s">
        <v>84</v>
      </c>
      <c r="E129">
        <v>8590701385.3630199</v>
      </c>
      <c r="F129" t="s">
        <v>163</v>
      </c>
      <c r="G129" t="s">
        <v>27</v>
      </c>
      <c r="H129" t="s">
        <v>259</v>
      </c>
      <c r="I129" s="17"/>
      <c r="J129" s="17"/>
    </row>
    <row r="130" spans="1:10" x14ac:dyDescent="0.45">
      <c r="A130" t="s">
        <v>168</v>
      </c>
      <c r="B130" s="17" t="s">
        <v>55</v>
      </c>
      <c r="C130">
        <v>2010</v>
      </c>
      <c r="D130" s="20" t="s">
        <v>84</v>
      </c>
      <c r="E130">
        <v>28980000</v>
      </c>
      <c r="F130" t="s">
        <v>163</v>
      </c>
      <c r="G130" t="s">
        <v>27</v>
      </c>
      <c r="H130" t="s">
        <v>261</v>
      </c>
      <c r="I130" s="17"/>
      <c r="J130" s="17"/>
    </row>
    <row r="131" spans="1:10" x14ac:dyDescent="0.45">
      <c r="A131" t="s">
        <v>169</v>
      </c>
      <c r="B131" s="17" t="s">
        <v>55</v>
      </c>
      <c r="C131">
        <v>2010</v>
      </c>
      <c r="D131" s="20" t="s">
        <v>84</v>
      </c>
      <c r="E131">
        <v>13500000</v>
      </c>
      <c r="F131" t="s">
        <v>163</v>
      </c>
      <c r="G131" t="s">
        <v>27</v>
      </c>
      <c r="H131" t="s">
        <v>262</v>
      </c>
      <c r="I131" s="17"/>
      <c r="J131" s="17"/>
    </row>
    <row r="132" spans="1:10" x14ac:dyDescent="0.45">
      <c r="A132" t="s">
        <v>170</v>
      </c>
      <c r="B132" s="17" t="s">
        <v>55</v>
      </c>
      <c r="C132">
        <v>2010</v>
      </c>
      <c r="D132" s="20" t="s">
        <v>84</v>
      </c>
      <c r="E132">
        <v>28980000</v>
      </c>
      <c r="F132" t="s">
        <v>163</v>
      </c>
      <c r="G132" t="s">
        <v>27</v>
      </c>
      <c r="H132" t="s">
        <v>262</v>
      </c>
      <c r="I132" s="17"/>
      <c r="J132" s="17"/>
    </row>
    <row r="133" spans="1:10" x14ac:dyDescent="0.45">
      <c r="A133" t="s">
        <v>171</v>
      </c>
      <c r="B133" s="17" t="s">
        <v>55</v>
      </c>
      <c r="C133">
        <v>2010</v>
      </c>
      <c r="D133" s="20" t="s">
        <v>84</v>
      </c>
      <c r="E133">
        <v>28980000</v>
      </c>
      <c r="F133" t="s">
        <v>163</v>
      </c>
      <c r="G133" t="s">
        <v>27</v>
      </c>
      <c r="H133" t="s">
        <v>263</v>
      </c>
      <c r="I133" s="17"/>
      <c r="J133" s="17"/>
    </row>
    <row r="134" spans="1:10" x14ac:dyDescent="0.45">
      <c r="A134" t="s">
        <v>172</v>
      </c>
      <c r="B134" s="17" t="s">
        <v>55</v>
      </c>
      <c r="C134">
        <v>2010</v>
      </c>
      <c r="D134" s="20" t="s">
        <v>84</v>
      </c>
      <c r="E134">
        <v>28980000</v>
      </c>
      <c r="F134" t="s">
        <v>163</v>
      </c>
      <c r="G134" t="s">
        <v>27</v>
      </c>
      <c r="H134" t="s">
        <v>263</v>
      </c>
      <c r="I134" s="17"/>
      <c r="J134" s="17"/>
    </row>
    <row r="135" spans="1:10" x14ac:dyDescent="0.45">
      <c r="A135" t="s">
        <v>173</v>
      </c>
      <c r="B135" s="17" t="s">
        <v>55</v>
      </c>
      <c r="C135">
        <v>2010</v>
      </c>
      <c r="D135" s="20" t="s">
        <v>84</v>
      </c>
      <c r="E135">
        <v>606666666.66666663</v>
      </c>
      <c r="F135" t="s">
        <v>163</v>
      </c>
      <c r="G135" t="s">
        <v>27</v>
      </c>
      <c r="H135" t="s">
        <v>265</v>
      </c>
      <c r="I135" s="17"/>
      <c r="J135" s="17"/>
    </row>
    <row r="136" spans="1:10" x14ac:dyDescent="0.45">
      <c r="A136" t="s">
        <v>174</v>
      </c>
      <c r="B136" s="17" t="s">
        <v>55</v>
      </c>
      <c r="C136">
        <v>2010</v>
      </c>
      <c r="D136" s="20" t="s">
        <v>84</v>
      </c>
      <c r="E136">
        <v>2360000</v>
      </c>
      <c r="F136" t="s">
        <v>163</v>
      </c>
      <c r="G136" t="s">
        <v>27</v>
      </c>
      <c r="H136" t="s">
        <v>263</v>
      </c>
      <c r="I136" s="17"/>
      <c r="J136" s="17"/>
    </row>
    <row r="137" spans="1:10" x14ac:dyDescent="0.45">
      <c r="A137" t="s">
        <v>175</v>
      </c>
      <c r="B137" s="17" t="s">
        <v>55</v>
      </c>
      <c r="C137">
        <v>2010</v>
      </c>
      <c r="D137" s="20" t="s">
        <v>84</v>
      </c>
      <c r="E137">
        <v>2360000</v>
      </c>
      <c r="F137" t="s">
        <v>163</v>
      </c>
      <c r="G137" t="s">
        <v>27</v>
      </c>
      <c r="H137" t="s">
        <v>263</v>
      </c>
      <c r="I137" s="17"/>
      <c r="J137" s="17"/>
    </row>
    <row r="138" spans="1:10" x14ac:dyDescent="0.45">
      <c r="A138" s="21" t="s">
        <v>176</v>
      </c>
      <c r="B138" s="17" t="s">
        <v>55</v>
      </c>
      <c r="C138">
        <v>2010</v>
      </c>
      <c r="D138" s="20" t="s">
        <v>84</v>
      </c>
      <c r="E138">
        <v>2360000</v>
      </c>
      <c r="F138" t="s">
        <v>163</v>
      </c>
      <c r="G138" t="s">
        <v>27</v>
      </c>
      <c r="H138" t="s">
        <v>263</v>
      </c>
      <c r="I138" s="17"/>
      <c r="J138" s="17"/>
    </row>
    <row r="139" spans="1:10" x14ac:dyDescent="0.45">
      <c r="A139" s="21" t="s">
        <v>177</v>
      </c>
      <c r="B139" s="17" t="s">
        <v>55</v>
      </c>
      <c r="C139">
        <v>2010</v>
      </c>
      <c r="D139" s="20" t="s">
        <v>84</v>
      </c>
      <c r="E139">
        <v>2360000</v>
      </c>
      <c r="F139" t="s">
        <v>163</v>
      </c>
      <c r="G139" t="s">
        <v>27</v>
      </c>
      <c r="H139" t="s">
        <v>262</v>
      </c>
      <c r="I139" s="17"/>
      <c r="J139" s="17"/>
    </row>
    <row r="140" spans="1:10" x14ac:dyDescent="0.45">
      <c r="A140" s="21" t="s">
        <v>178</v>
      </c>
      <c r="B140" s="17" t="s">
        <v>55</v>
      </c>
      <c r="C140">
        <v>2010</v>
      </c>
      <c r="D140" s="20" t="s">
        <v>84</v>
      </c>
      <c r="E140">
        <v>13500000</v>
      </c>
      <c r="F140" t="s">
        <v>163</v>
      </c>
      <c r="G140" t="s">
        <v>27</v>
      </c>
      <c r="H140" t="s">
        <v>262</v>
      </c>
      <c r="I140" s="17"/>
      <c r="J140" s="17"/>
    </row>
    <row r="141" spans="1:10" x14ac:dyDescent="0.45">
      <c r="A141" s="21" t="s">
        <v>179</v>
      </c>
      <c r="B141" s="17" t="s">
        <v>55</v>
      </c>
      <c r="C141">
        <v>2010</v>
      </c>
      <c r="D141" s="20" t="s">
        <v>84</v>
      </c>
      <c r="E141">
        <v>28980000</v>
      </c>
      <c r="F141" t="s">
        <v>163</v>
      </c>
      <c r="G141" t="s">
        <v>27</v>
      </c>
      <c r="H141" t="s">
        <v>263</v>
      </c>
      <c r="I141" s="17"/>
      <c r="J141" s="17"/>
    </row>
    <row r="142" spans="1:10" x14ac:dyDescent="0.45">
      <c r="A142" s="21" t="s">
        <v>180</v>
      </c>
      <c r="B142" s="17" t="s">
        <v>55</v>
      </c>
      <c r="C142">
        <v>2010</v>
      </c>
      <c r="D142" s="20" t="s">
        <v>84</v>
      </c>
      <c r="E142">
        <v>28980000</v>
      </c>
      <c r="F142" t="s">
        <v>163</v>
      </c>
      <c r="G142" t="s">
        <v>27</v>
      </c>
      <c r="H142" t="s">
        <v>264</v>
      </c>
      <c r="I142" s="17"/>
      <c r="J142" s="17"/>
    </row>
    <row r="143" spans="1:10" x14ac:dyDescent="0.45">
      <c r="A143" s="21" t="s">
        <v>181</v>
      </c>
      <c r="B143" s="17" t="s">
        <v>55</v>
      </c>
      <c r="C143">
        <v>2010</v>
      </c>
      <c r="D143" s="20" t="s">
        <v>84</v>
      </c>
      <c r="E143">
        <v>0</v>
      </c>
      <c r="F143" t="s">
        <v>81</v>
      </c>
      <c r="G143" t="s">
        <v>27</v>
      </c>
      <c r="H143" s="7" t="s">
        <v>260</v>
      </c>
      <c r="I143" s="17"/>
      <c r="J143" s="17"/>
    </row>
    <row r="144" spans="1:10" x14ac:dyDescent="0.45">
      <c r="A144" s="21" t="s">
        <v>182</v>
      </c>
      <c r="B144" s="17" t="s">
        <v>55</v>
      </c>
      <c r="C144">
        <v>2010</v>
      </c>
      <c r="D144" s="20" t="s">
        <v>84</v>
      </c>
      <c r="E144">
        <v>0</v>
      </c>
      <c r="F144" t="s">
        <v>81</v>
      </c>
      <c r="G144" t="s">
        <v>27</v>
      </c>
      <c r="H144" s="7" t="s">
        <v>260</v>
      </c>
      <c r="I144" s="17"/>
      <c r="J144" s="17"/>
    </row>
    <row r="145" spans="1:10" x14ac:dyDescent="0.45">
      <c r="A145" s="21" t="s">
        <v>183</v>
      </c>
      <c r="B145" s="17" t="s">
        <v>55</v>
      </c>
      <c r="C145">
        <v>2010</v>
      </c>
      <c r="D145" s="20" t="s">
        <v>84</v>
      </c>
      <c r="E145">
        <v>0</v>
      </c>
      <c r="F145" t="s">
        <v>81</v>
      </c>
      <c r="G145" t="s">
        <v>27</v>
      </c>
      <c r="H145" s="7" t="s">
        <v>260</v>
      </c>
      <c r="I145" s="17"/>
      <c r="J145" s="17"/>
    </row>
    <row r="146" spans="1:10" x14ac:dyDescent="0.45">
      <c r="A146" s="21" t="s">
        <v>184</v>
      </c>
      <c r="B146" s="17" t="s">
        <v>55</v>
      </c>
      <c r="C146">
        <v>2010</v>
      </c>
      <c r="D146" s="20" t="s">
        <v>84</v>
      </c>
      <c r="E146">
        <v>0</v>
      </c>
      <c r="F146" t="s">
        <v>81</v>
      </c>
      <c r="G146" t="s">
        <v>27</v>
      </c>
      <c r="H146" s="7" t="s">
        <v>260</v>
      </c>
      <c r="I146" s="17"/>
      <c r="J146" s="17"/>
    </row>
    <row r="147" spans="1:10" x14ac:dyDescent="0.45">
      <c r="A147" s="21" t="s">
        <v>185</v>
      </c>
      <c r="B147" s="17" t="s">
        <v>55</v>
      </c>
      <c r="C147">
        <v>2010</v>
      </c>
      <c r="D147" s="20" t="s">
        <v>84</v>
      </c>
      <c r="E147">
        <v>0</v>
      </c>
      <c r="F147" t="s">
        <v>81</v>
      </c>
      <c r="G147" t="s">
        <v>27</v>
      </c>
      <c r="H147" s="7" t="s">
        <v>260</v>
      </c>
      <c r="I147" s="17"/>
      <c r="J147" s="17"/>
    </row>
    <row r="148" spans="1:10" x14ac:dyDescent="0.45">
      <c r="A148" s="21" t="s">
        <v>186</v>
      </c>
      <c r="B148" s="17" t="s">
        <v>55</v>
      </c>
      <c r="C148">
        <v>2010</v>
      </c>
      <c r="D148" s="20" t="s">
        <v>84</v>
      </c>
      <c r="E148">
        <v>0</v>
      </c>
      <c r="F148" t="s">
        <v>81</v>
      </c>
      <c r="G148" t="s">
        <v>27</v>
      </c>
      <c r="H148" s="7" t="s">
        <v>260</v>
      </c>
      <c r="I148" s="17"/>
      <c r="J148" s="17"/>
    </row>
    <row r="149" spans="1:10" x14ac:dyDescent="0.45">
      <c r="A149" s="21" t="s">
        <v>187</v>
      </c>
      <c r="B149" s="17" t="s">
        <v>55</v>
      </c>
      <c r="C149" s="17">
        <v>2010</v>
      </c>
      <c r="D149" s="17" t="s">
        <v>84</v>
      </c>
      <c r="E149">
        <v>0</v>
      </c>
      <c r="F149" t="s">
        <v>81</v>
      </c>
      <c r="G149" t="s">
        <v>27</v>
      </c>
      <c r="H149" s="7" t="s">
        <v>260</v>
      </c>
      <c r="I149" s="17"/>
      <c r="J149" s="17"/>
    </row>
    <row r="150" spans="1:10" x14ac:dyDescent="0.45">
      <c r="A150" t="s">
        <v>188</v>
      </c>
      <c r="B150" s="17" t="s">
        <v>55</v>
      </c>
      <c r="C150">
        <v>2010</v>
      </c>
      <c r="D150" t="s">
        <v>84</v>
      </c>
      <c r="E150">
        <v>0</v>
      </c>
      <c r="F150" t="s">
        <v>81</v>
      </c>
      <c r="G150" t="s">
        <v>27</v>
      </c>
      <c r="H150" s="7" t="s">
        <v>260</v>
      </c>
    </row>
    <row r="151" spans="1:10" x14ac:dyDescent="0.45">
      <c r="A151" t="s">
        <v>189</v>
      </c>
      <c r="B151" s="17" t="s">
        <v>55</v>
      </c>
      <c r="C151">
        <v>2010</v>
      </c>
      <c r="D151" t="s">
        <v>84</v>
      </c>
      <c r="E151">
        <v>0</v>
      </c>
      <c r="F151" t="s">
        <v>81</v>
      </c>
      <c r="G151" t="s">
        <v>27</v>
      </c>
      <c r="H151" s="7" t="s">
        <v>260</v>
      </c>
    </row>
    <row r="152" spans="1:10" x14ac:dyDescent="0.45">
      <c r="A152" t="s">
        <v>190</v>
      </c>
      <c r="B152" s="17" t="s">
        <v>55</v>
      </c>
      <c r="C152">
        <v>2010</v>
      </c>
      <c r="D152" t="s">
        <v>84</v>
      </c>
      <c r="E152">
        <v>0</v>
      </c>
      <c r="F152" t="s">
        <v>81</v>
      </c>
      <c r="G152" t="s">
        <v>27</v>
      </c>
      <c r="H152" s="7" t="s">
        <v>260</v>
      </c>
    </row>
    <row r="153" spans="1:10" x14ac:dyDescent="0.45">
      <c r="A153" t="s">
        <v>191</v>
      </c>
      <c r="B153" s="17" t="s">
        <v>55</v>
      </c>
      <c r="C153">
        <v>2010</v>
      </c>
      <c r="D153" t="s">
        <v>84</v>
      </c>
      <c r="E153">
        <v>0</v>
      </c>
      <c r="F153" t="s">
        <v>81</v>
      </c>
      <c r="G153" t="s">
        <v>27</v>
      </c>
      <c r="H153" s="7" t="s">
        <v>260</v>
      </c>
    </row>
    <row r="154" spans="1:10" x14ac:dyDescent="0.45">
      <c r="A154" t="s">
        <v>192</v>
      </c>
      <c r="B154" s="17" t="s">
        <v>55</v>
      </c>
      <c r="C154">
        <v>2010</v>
      </c>
      <c r="D154" t="s">
        <v>84</v>
      </c>
      <c r="E154">
        <v>0</v>
      </c>
      <c r="F154" t="s">
        <v>81</v>
      </c>
      <c r="G154" t="s">
        <v>27</v>
      </c>
      <c r="H154" s="7" t="s">
        <v>260</v>
      </c>
    </row>
    <row r="155" spans="1:10" x14ac:dyDescent="0.45">
      <c r="A155" t="s">
        <v>195</v>
      </c>
      <c r="B155" s="17" t="s">
        <v>55</v>
      </c>
      <c r="C155">
        <v>2010</v>
      </c>
      <c r="D155" s="20" t="s">
        <v>84</v>
      </c>
      <c r="E155">
        <v>0.36</v>
      </c>
      <c r="F155" t="s">
        <v>82</v>
      </c>
      <c r="G155" t="s">
        <v>27</v>
      </c>
      <c r="H155" s="17" t="s">
        <v>156</v>
      </c>
    </row>
    <row r="156" spans="1:10" x14ac:dyDescent="0.45">
      <c r="A156" t="s">
        <v>196</v>
      </c>
      <c r="B156" s="17" t="s">
        <v>55</v>
      </c>
      <c r="C156">
        <v>2010</v>
      </c>
      <c r="D156" s="20" t="s">
        <v>84</v>
      </c>
      <c r="E156">
        <v>0.36</v>
      </c>
      <c r="F156" t="s">
        <v>82</v>
      </c>
      <c r="G156" t="s">
        <v>27</v>
      </c>
      <c r="H156" s="17" t="s">
        <v>156</v>
      </c>
    </row>
    <row r="157" spans="1:10" x14ac:dyDescent="0.45">
      <c r="A157" t="s">
        <v>197</v>
      </c>
      <c r="B157" s="17" t="s">
        <v>55</v>
      </c>
      <c r="C157">
        <v>2010</v>
      </c>
      <c r="D157" s="20" t="s">
        <v>84</v>
      </c>
      <c r="E157">
        <v>0.36</v>
      </c>
      <c r="F157" t="s">
        <v>82</v>
      </c>
      <c r="G157" t="s">
        <v>27</v>
      </c>
      <c r="H157" s="17" t="s">
        <v>156</v>
      </c>
    </row>
    <row r="158" spans="1:10" x14ac:dyDescent="0.45">
      <c r="A158" t="s">
        <v>198</v>
      </c>
      <c r="B158" s="17" t="s">
        <v>55</v>
      </c>
      <c r="C158">
        <v>2010</v>
      </c>
      <c r="D158" s="20" t="s">
        <v>84</v>
      </c>
      <c r="E158">
        <v>0.36</v>
      </c>
      <c r="F158" t="s">
        <v>82</v>
      </c>
      <c r="G158" t="s">
        <v>27</v>
      </c>
      <c r="H158" s="17" t="s">
        <v>156</v>
      </c>
    </row>
    <row r="159" spans="1:10" x14ac:dyDescent="0.45">
      <c r="A159" t="s">
        <v>195</v>
      </c>
      <c r="B159" s="17" t="s">
        <v>86</v>
      </c>
      <c r="C159">
        <v>2010</v>
      </c>
      <c r="D159" s="20" t="s">
        <v>84</v>
      </c>
      <c r="E159">
        <v>156.19999999999999</v>
      </c>
      <c r="F159" t="s">
        <v>82</v>
      </c>
      <c r="G159" t="s">
        <v>27</v>
      </c>
      <c r="H159" s="17" t="s">
        <v>156</v>
      </c>
    </row>
    <row r="160" spans="1:10" x14ac:dyDescent="0.45">
      <c r="A160" t="s">
        <v>196</v>
      </c>
      <c r="B160" s="17" t="s">
        <v>86</v>
      </c>
      <c r="C160">
        <v>2010</v>
      </c>
      <c r="D160" s="20" t="s">
        <v>84</v>
      </c>
      <c r="E160">
        <v>156.19999999999999</v>
      </c>
      <c r="F160" t="s">
        <v>82</v>
      </c>
      <c r="G160" t="s">
        <v>27</v>
      </c>
      <c r="H160" s="17" t="s">
        <v>156</v>
      </c>
    </row>
    <row r="161" spans="1:9" x14ac:dyDescent="0.45">
      <c r="A161" t="s">
        <v>197</v>
      </c>
      <c r="B161" s="17" t="s">
        <v>86</v>
      </c>
      <c r="C161">
        <v>2010</v>
      </c>
      <c r="D161" s="20" t="s">
        <v>84</v>
      </c>
      <c r="E161">
        <v>156.19999999999999</v>
      </c>
      <c r="F161" t="s">
        <v>82</v>
      </c>
      <c r="G161" t="s">
        <v>27</v>
      </c>
      <c r="H161" s="17" t="s">
        <v>156</v>
      </c>
    </row>
    <row r="162" spans="1:9" x14ac:dyDescent="0.45">
      <c r="A162" t="s">
        <v>198</v>
      </c>
      <c r="B162" s="17" t="s">
        <v>86</v>
      </c>
      <c r="C162">
        <v>2010</v>
      </c>
      <c r="D162" s="20" t="s">
        <v>84</v>
      </c>
      <c r="E162">
        <v>156.19999999999999</v>
      </c>
      <c r="F162" t="s">
        <v>82</v>
      </c>
      <c r="G162" t="s">
        <v>27</v>
      </c>
      <c r="H162" s="17" t="s">
        <v>156</v>
      </c>
    </row>
    <row r="163" spans="1:9" x14ac:dyDescent="0.45">
      <c r="A163" t="s">
        <v>195</v>
      </c>
      <c r="B163" s="17" t="s">
        <v>80</v>
      </c>
      <c r="C163">
        <v>2010</v>
      </c>
      <c r="D163" s="20" t="s">
        <v>84</v>
      </c>
      <c r="E163">
        <v>5</v>
      </c>
      <c r="F163" t="s">
        <v>82</v>
      </c>
      <c r="G163" t="s">
        <v>27</v>
      </c>
      <c r="H163" s="17" t="s">
        <v>156</v>
      </c>
    </row>
    <row r="164" spans="1:9" x14ac:dyDescent="0.45">
      <c r="A164" t="s">
        <v>196</v>
      </c>
      <c r="B164" s="17" t="s">
        <v>80</v>
      </c>
      <c r="C164">
        <v>2010</v>
      </c>
      <c r="D164" s="20" t="s">
        <v>84</v>
      </c>
      <c r="E164">
        <v>5</v>
      </c>
      <c r="F164" t="s">
        <v>82</v>
      </c>
      <c r="G164" t="s">
        <v>27</v>
      </c>
      <c r="H164" s="17" t="s">
        <v>156</v>
      </c>
    </row>
    <row r="165" spans="1:9" x14ac:dyDescent="0.45">
      <c r="A165" t="s">
        <v>197</v>
      </c>
      <c r="B165" s="17" t="s">
        <v>80</v>
      </c>
      <c r="C165">
        <v>2010</v>
      </c>
      <c r="D165" s="20" t="s">
        <v>84</v>
      </c>
      <c r="E165">
        <v>5</v>
      </c>
      <c r="F165" t="s">
        <v>82</v>
      </c>
      <c r="G165" t="s">
        <v>27</v>
      </c>
      <c r="H165" s="17" t="s">
        <v>156</v>
      </c>
    </row>
    <row r="166" spans="1:9" x14ac:dyDescent="0.45">
      <c r="A166" t="s">
        <v>198</v>
      </c>
      <c r="B166" s="17" t="s">
        <v>80</v>
      </c>
      <c r="C166">
        <v>2010</v>
      </c>
      <c r="D166" s="20" t="s">
        <v>84</v>
      </c>
      <c r="E166">
        <v>5</v>
      </c>
      <c r="F166" t="s">
        <v>82</v>
      </c>
      <c r="G166" t="s">
        <v>27</v>
      </c>
      <c r="H166" s="17" t="s">
        <v>156</v>
      </c>
    </row>
    <row r="167" spans="1:9" x14ac:dyDescent="0.45">
      <c r="A167" s="21" t="s">
        <v>199</v>
      </c>
      <c r="B167" s="17" t="s">
        <v>80</v>
      </c>
      <c r="C167">
        <v>2010</v>
      </c>
      <c r="D167" s="20" t="s">
        <v>84</v>
      </c>
      <c r="E167">
        <v>5</v>
      </c>
      <c r="F167" t="s">
        <v>82</v>
      </c>
      <c r="G167" t="s">
        <v>27</v>
      </c>
      <c r="H167" s="17" t="s">
        <v>133</v>
      </c>
      <c r="I167" s="17"/>
    </row>
    <row r="168" spans="1:9" x14ac:dyDescent="0.45">
      <c r="A168" s="21" t="s">
        <v>199</v>
      </c>
      <c r="B168" s="17" t="s">
        <v>55</v>
      </c>
      <c r="C168">
        <v>2010</v>
      </c>
      <c r="D168" s="20" t="s">
        <v>84</v>
      </c>
      <c r="E168">
        <v>0.36000000000000004</v>
      </c>
      <c r="F168" t="s">
        <v>82</v>
      </c>
      <c r="G168" t="s">
        <v>27</v>
      </c>
      <c r="H168" s="17" t="s">
        <v>133</v>
      </c>
      <c r="I168" s="17"/>
    </row>
    <row r="169" spans="1:9" x14ac:dyDescent="0.45">
      <c r="A169" s="21" t="s">
        <v>199</v>
      </c>
      <c r="B169" s="17" t="s">
        <v>86</v>
      </c>
      <c r="C169">
        <v>2010</v>
      </c>
      <c r="D169" s="20" t="s">
        <v>84</v>
      </c>
      <c r="E169">
        <v>156.19999999999999</v>
      </c>
      <c r="F169" t="s">
        <v>82</v>
      </c>
      <c r="G169" t="s">
        <v>27</v>
      </c>
      <c r="H169" s="17" t="s">
        <v>133</v>
      </c>
      <c r="I169" s="17"/>
    </row>
    <row r="170" spans="1:9" x14ac:dyDescent="0.45">
      <c r="A170" t="s">
        <v>200</v>
      </c>
      <c r="B170" s="17" t="s">
        <v>80</v>
      </c>
      <c r="C170">
        <v>2010</v>
      </c>
      <c r="D170" s="20" t="s">
        <v>84</v>
      </c>
      <c r="E170">
        <v>5</v>
      </c>
      <c r="F170" t="s">
        <v>82</v>
      </c>
      <c r="G170" t="s">
        <v>27</v>
      </c>
      <c r="H170" s="17" t="s">
        <v>133</v>
      </c>
      <c r="I170" s="17"/>
    </row>
    <row r="171" spans="1:9" x14ac:dyDescent="0.45">
      <c r="A171" t="s">
        <v>200</v>
      </c>
      <c r="B171" s="17" t="s">
        <v>55</v>
      </c>
      <c r="C171">
        <v>2010</v>
      </c>
      <c r="D171" s="20" t="s">
        <v>84</v>
      </c>
      <c r="E171">
        <v>0.36000000000000004</v>
      </c>
      <c r="F171" t="s">
        <v>82</v>
      </c>
      <c r="G171" t="s">
        <v>27</v>
      </c>
      <c r="H171" s="17" t="s">
        <v>133</v>
      </c>
      <c r="I171" s="17"/>
    </row>
    <row r="172" spans="1:9" x14ac:dyDescent="0.45">
      <c r="A172" t="s">
        <v>200</v>
      </c>
      <c r="B172" s="17" t="s">
        <v>86</v>
      </c>
      <c r="C172">
        <v>2010</v>
      </c>
      <c r="D172" s="20" t="s">
        <v>84</v>
      </c>
      <c r="E172">
        <v>156.19999999999999</v>
      </c>
      <c r="F172" t="s">
        <v>82</v>
      </c>
      <c r="G172" t="s">
        <v>27</v>
      </c>
      <c r="H172" s="17" t="s">
        <v>133</v>
      </c>
      <c r="I172" s="17"/>
    </row>
    <row r="173" spans="1:9" x14ac:dyDescent="0.45">
      <c r="A173" t="s">
        <v>200</v>
      </c>
      <c r="B173" s="17" t="s">
        <v>80</v>
      </c>
      <c r="C173">
        <v>2010</v>
      </c>
      <c r="D173" s="20" t="s">
        <v>84</v>
      </c>
      <c r="E173">
        <v>5</v>
      </c>
      <c r="F173" t="s">
        <v>82</v>
      </c>
      <c r="G173" t="s">
        <v>27</v>
      </c>
      <c r="H173" s="17" t="s">
        <v>133</v>
      </c>
      <c r="I173" s="17"/>
    </row>
    <row r="174" spans="1:9" x14ac:dyDescent="0.45">
      <c r="A174" t="s">
        <v>200</v>
      </c>
      <c r="B174" s="17" t="s">
        <v>55</v>
      </c>
      <c r="C174">
        <v>2010</v>
      </c>
      <c r="D174" s="20" t="s">
        <v>84</v>
      </c>
      <c r="E174">
        <v>0.36000000000000004</v>
      </c>
      <c r="F174" t="s">
        <v>82</v>
      </c>
      <c r="G174" t="s">
        <v>27</v>
      </c>
      <c r="H174" s="17" t="s">
        <v>133</v>
      </c>
      <c r="I174" s="17"/>
    </row>
    <row r="175" spans="1:9" x14ac:dyDescent="0.45">
      <c r="A175" t="s">
        <v>200</v>
      </c>
      <c r="B175" s="17" t="s">
        <v>86</v>
      </c>
      <c r="C175">
        <v>2010</v>
      </c>
      <c r="D175" s="20" t="s">
        <v>84</v>
      </c>
      <c r="E175">
        <v>156.19999999999999</v>
      </c>
      <c r="F175" t="s">
        <v>82</v>
      </c>
      <c r="G175" t="s">
        <v>27</v>
      </c>
      <c r="H175" s="17" t="s">
        <v>133</v>
      </c>
      <c r="I175" s="17"/>
    </row>
    <row r="176" spans="1:9" x14ac:dyDescent="0.45">
      <c r="A176" t="s">
        <v>201</v>
      </c>
      <c r="B176" s="17" t="s">
        <v>80</v>
      </c>
      <c r="C176">
        <v>2010</v>
      </c>
      <c r="D176" s="20" t="s">
        <v>84</v>
      </c>
      <c r="E176">
        <v>5</v>
      </c>
      <c r="F176" t="s">
        <v>82</v>
      </c>
      <c r="G176" t="s">
        <v>27</v>
      </c>
      <c r="H176" s="17" t="s">
        <v>133</v>
      </c>
      <c r="I176" s="17"/>
    </row>
    <row r="177" spans="1:9" x14ac:dyDescent="0.45">
      <c r="A177" t="s">
        <v>201</v>
      </c>
      <c r="B177" s="17" t="s">
        <v>55</v>
      </c>
      <c r="C177">
        <v>2010</v>
      </c>
      <c r="D177" s="20" t="s">
        <v>84</v>
      </c>
      <c r="E177">
        <v>0.36000000000000004</v>
      </c>
      <c r="F177" t="s">
        <v>82</v>
      </c>
      <c r="G177" t="s">
        <v>27</v>
      </c>
      <c r="H177" s="17" t="s">
        <v>133</v>
      </c>
      <c r="I177" s="17"/>
    </row>
    <row r="178" spans="1:9" x14ac:dyDescent="0.45">
      <c r="A178" t="s">
        <v>201</v>
      </c>
      <c r="B178" s="17" t="s">
        <v>86</v>
      </c>
      <c r="C178">
        <v>2010</v>
      </c>
      <c r="D178" s="20" t="s">
        <v>84</v>
      </c>
      <c r="E178">
        <v>156.19999999999999</v>
      </c>
      <c r="F178" t="s">
        <v>82</v>
      </c>
      <c r="G178" t="s">
        <v>27</v>
      </c>
      <c r="H178" s="17" t="s">
        <v>133</v>
      </c>
      <c r="I178" s="17"/>
    </row>
    <row r="179" spans="1:9" x14ac:dyDescent="0.45">
      <c r="A179" t="s">
        <v>202</v>
      </c>
      <c r="B179" s="17" t="s">
        <v>80</v>
      </c>
      <c r="C179">
        <v>2010</v>
      </c>
      <c r="D179" s="20" t="s">
        <v>84</v>
      </c>
      <c r="E179">
        <v>5</v>
      </c>
      <c r="F179" t="s">
        <v>82</v>
      </c>
      <c r="G179" t="s">
        <v>27</v>
      </c>
      <c r="H179" s="17" t="s">
        <v>133</v>
      </c>
      <c r="I179" s="17"/>
    </row>
    <row r="180" spans="1:9" x14ac:dyDescent="0.45">
      <c r="A180" t="s">
        <v>202</v>
      </c>
      <c r="B180" s="17" t="s">
        <v>55</v>
      </c>
      <c r="C180">
        <v>2010</v>
      </c>
      <c r="D180" s="20" t="s">
        <v>84</v>
      </c>
      <c r="E180">
        <v>0.36000000000000004</v>
      </c>
      <c r="F180" t="s">
        <v>82</v>
      </c>
      <c r="G180" t="s">
        <v>27</v>
      </c>
      <c r="H180" s="17" t="s">
        <v>133</v>
      </c>
      <c r="I180" s="17"/>
    </row>
    <row r="181" spans="1:9" x14ac:dyDescent="0.45">
      <c r="A181" t="s">
        <v>202</v>
      </c>
      <c r="B181" s="17" t="s">
        <v>86</v>
      </c>
      <c r="C181">
        <v>2010</v>
      </c>
      <c r="D181" s="20" t="s">
        <v>84</v>
      </c>
      <c r="E181">
        <v>156.19999999999999</v>
      </c>
      <c r="F181" t="s">
        <v>82</v>
      </c>
      <c r="G181" t="s">
        <v>27</v>
      </c>
      <c r="H181" s="17" t="s">
        <v>133</v>
      </c>
      <c r="I181" s="17"/>
    </row>
    <row r="182" spans="1:9" x14ac:dyDescent="0.45">
      <c r="B182" s="17"/>
    </row>
    <row r="183" spans="1:9" x14ac:dyDescent="0.45">
      <c r="B183" s="17"/>
    </row>
    <row r="184" spans="1:9" x14ac:dyDescent="0.45">
      <c r="B184" s="17"/>
    </row>
    <row r="185" spans="1:9" x14ac:dyDescent="0.45">
      <c r="B185" s="17"/>
    </row>
    <row r="186" spans="1:9" x14ac:dyDescent="0.45">
      <c r="B186" s="17"/>
    </row>
    <row r="187" spans="1:9" x14ac:dyDescent="0.45">
      <c r="B187" s="17"/>
    </row>
    <row r="188" spans="1:9" x14ac:dyDescent="0.45">
      <c r="B188" s="17"/>
    </row>
    <row r="189" spans="1:9" x14ac:dyDescent="0.45">
      <c r="B189" s="17"/>
      <c r="E189" s="17"/>
    </row>
    <row r="190" spans="1:9" x14ac:dyDescent="0.45">
      <c r="B190" s="17"/>
    </row>
    <row r="191" spans="1:9" x14ac:dyDescent="0.45">
      <c r="B191" s="17"/>
    </row>
    <row r="192" spans="1:9" x14ac:dyDescent="0.45">
      <c r="B192" s="17"/>
    </row>
    <row r="193" spans="2:2" x14ac:dyDescent="0.45">
      <c r="B193" s="17"/>
    </row>
    <row r="194" spans="2:2" x14ac:dyDescent="0.45">
      <c r="B194" s="17"/>
    </row>
    <row r="195" spans="2:2" x14ac:dyDescent="0.45">
      <c r="B195" s="17"/>
    </row>
    <row r="196" spans="2:2" x14ac:dyDescent="0.45">
      <c r="B196" s="17"/>
    </row>
    <row r="197" spans="2:2" x14ac:dyDescent="0.45">
      <c r="B197" s="17"/>
    </row>
    <row r="198" spans="2:2" x14ac:dyDescent="0.45">
      <c r="B198" s="17"/>
    </row>
    <row r="199" spans="2:2" x14ac:dyDescent="0.45">
      <c r="B199" s="17"/>
    </row>
    <row r="200" spans="2:2" x14ac:dyDescent="0.45">
      <c r="B200" s="17"/>
    </row>
    <row r="201" spans="2:2" x14ac:dyDescent="0.45">
      <c r="B201" s="17"/>
    </row>
    <row r="202" spans="2:2" x14ac:dyDescent="0.45">
      <c r="B202" s="17"/>
    </row>
    <row r="203" spans="2:2" x14ac:dyDescent="0.45">
      <c r="B203" s="17"/>
    </row>
    <row r="204" spans="2:2" x14ac:dyDescent="0.45">
      <c r="B204" s="17"/>
    </row>
    <row r="205" spans="2:2" x14ac:dyDescent="0.45">
      <c r="B205" s="17"/>
    </row>
    <row r="206" spans="2:2" x14ac:dyDescent="0.45">
      <c r="B206" s="17"/>
    </row>
    <row r="207" spans="2:2" x14ac:dyDescent="0.45">
      <c r="B207" s="17"/>
    </row>
    <row r="208" spans="2:2" x14ac:dyDescent="0.45">
      <c r="B208" s="17"/>
    </row>
    <row r="209" spans="2:5" x14ac:dyDescent="0.45">
      <c r="B209" s="17"/>
    </row>
    <row r="210" spans="2:5" x14ac:dyDescent="0.45">
      <c r="B210" s="17"/>
    </row>
    <row r="211" spans="2:5" x14ac:dyDescent="0.45">
      <c r="B211" s="17"/>
    </row>
    <row r="212" spans="2:5" x14ac:dyDescent="0.45">
      <c r="B212" s="17"/>
    </row>
    <row r="213" spans="2:5" x14ac:dyDescent="0.45">
      <c r="B213" s="17"/>
    </row>
    <row r="214" spans="2:5" x14ac:dyDescent="0.45">
      <c r="B214" s="17"/>
    </row>
    <row r="215" spans="2:5" x14ac:dyDescent="0.45">
      <c r="B215" s="17"/>
    </row>
    <row r="216" spans="2:5" x14ac:dyDescent="0.45">
      <c r="B216" s="17"/>
    </row>
    <row r="217" spans="2:5" x14ac:dyDescent="0.45">
      <c r="B217" s="17"/>
    </row>
    <row r="218" spans="2:5" x14ac:dyDescent="0.45">
      <c r="B218" s="17"/>
    </row>
    <row r="219" spans="2:5" x14ac:dyDescent="0.45">
      <c r="B219" s="17"/>
    </row>
    <row r="220" spans="2:5" x14ac:dyDescent="0.45">
      <c r="B220" s="17"/>
    </row>
    <row r="221" spans="2:5" x14ac:dyDescent="0.45">
      <c r="B221" s="17"/>
      <c r="E221" s="17"/>
    </row>
    <row r="222" spans="2:5" x14ac:dyDescent="0.45">
      <c r="B222" s="17"/>
    </row>
    <row r="223" spans="2:5" x14ac:dyDescent="0.45">
      <c r="B223" s="17"/>
    </row>
    <row r="224" spans="2:5" x14ac:dyDescent="0.45">
      <c r="B224" s="17"/>
    </row>
    <row r="225" spans="2:2" x14ac:dyDescent="0.45">
      <c r="B225" s="17"/>
    </row>
    <row r="226" spans="2:2" x14ac:dyDescent="0.45">
      <c r="B226" s="17"/>
    </row>
    <row r="227" spans="2:2" x14ac:dyDescent="0.45">
      <c r="B227" s="17"/>
    </row>
    <row r="228" spans="2:2" x14ac:dyDescent="0.45">
      <c r="B228" s="17"/>
    </row>
    <row r="229" spans="2:2" x14ac:dyDescent="0.45">
      <c r="B229" s="17"/>
    </row>
    <row r="230" spans="2:2" x14ac:dyDescent="0.45">
      <c r="B230" s="17"/>
    </row>
    <row r="231" spans="2:2" x14ac:dyDescent="0.45">
      <c r="B231" s="17"/>
    </row>
    <row r="232" spans="2:2" x14ac:dyDescent="0.45">
      <c r="B232" s="17"/>
    </row>
    <row r="233" spans="2:2" x14ac:dyDescent="0.45">
      <c r="B233" s="17"/>
    </row>
    <row r="234" spans="2:2" x14ac:dyDescent="0.45">
      <c r="B234" s="17"/>
    </row>
    <row r="235" spans="2:2" x14ac:dyDescent="0.45">
      <c r="B235" s="17"/>
    </row>
    <row r="236" spans="2:2" x14ac:dyDescent="0.45">
      <c r="B236" s="17"/>
    </row>
    <row r="237" spans="2:2" x14ac:dyDescent="0.45">
      <c r="B237" s="17"/>
    </row>
    <row r="238" spans="2:2" x14ac:dyDescent="0.45">
      <c r="B238" s="17"/>
    </row>
    <row r="239" spans="2:2" x14ac:dyDescent="0.45">
      <c r="B239" s="17"/>
    </row>
    <row r="240" spans="2:2" x14ac:dyDescent="0.45">
      <c r="B240" s="17"/>
    </row>
    <row r="241" spans="2:5" x14ac:dyDescent="0.45">
      <c r="B241" s="17"/>
    </row>
    <row r="242" spans="2:5" x14ac:dyDescent="0.45">
      <c r="B242" s="17"/>
    </row>
    <row r="243" spans="2:5" x14ac:dyDescent="0.45">
      <c r="B243" s="17"/>
    </row>
    <row r="244" spans="2:5" x14ac:dyDescent="0.45">
      <c r="B244" s="17"/>
    </row>
    <row r="245" spans="2:5" x14ac:dyDescent="0.45">
      <c r="B245" s="17"/>
    </row>
    <row r="246" spans="2:5" x14ac:dyDescent="0.45">
      <c r="B246" s="17"/>
    </row>
    <row r="247" spans="2:5" x14ac:dyDescent="0.45">
      <c r="B247" s="17"/>
    </row>
    <row r="248" spans="2:5" x14ac:dyDescent="0.45">
      <c r="B248" s="17"/>
    </row>
    <row r="249" spans="2:5" x14ac:dyDescent="0.45">
      <c r="B249" s="17"/>
    </row>
    <row r="250" spans="2:5" x14ac:dyDescent="0.45">
      <c r="B250" s="17"/>
    </row>
    <row r="251" spans="2:5" x14ac:dyDescent="0.45">
      <c r="B251" s="17"/>
    </row>
    <row r="252" spans="2:5" x14ac:dyDescent="0.45">
      <c r="B252" s="17"/>
    </row>
    <row r="253" spans="2:5" x14ac:dyDescent="0.45">
      <c r="B253" s="17"/>
      <c r="E253" s="17"/>
    </row>
    <row r="254" spans="2:5" x14ac:dyDescent="0.45">
      <c r="B254" s="17"/>
    </row>
    <row r="255" spans="2:5" x14ac:dyDescent="0.45">
      <c r="B255" s="17"/>
    </row>
    <row r="256" spans="2:5" x14ac:dyDescent="0.45">
      <c r="B256" s="17"/>
    </row>
    <row r="257" spans="2:2" x14ac:dyDescent="0.45">
      <c r="B257" s="17"/>
    </row>
    <row r="258" spans="2:2" x14ac:dyDescent="0.45">
      <c r="B258" s="17"/>
    </row>
    <row r="259" spans="2:2" x14ac:dyDescent="0.45">
      <c r="B259" s="17"/>
    </row>
    <row r="260" spans="2:2" x14ac:dyDescent="0.45">
      <c r="B260" s="17"/>
    </row>
    <row r="261" spans="2:2" x14ac:dyDescent="0.45">
      <c r="B261" s="17"/>
    </row>
    <row r="262" spans="2:2" x14ac:dyDescent="0.45">
      <c r="B262" s="17"/>
    </row>
    <row r="263" spans="2:2" x14ac:dyDescent="0.45">
      <c r="B263" s="17"/>
    </row>
    <row r="264" spans="2:2" x14ac:dyDescent="0.45">
      <c r="B264" s="17"/>
    </row>
    <row r="265" spans="2:2" x14ac:dyDescent="0.45">
      <c r="B265" s="17"/>
    </row>
    <row r="266" spans="2:2" x14ac:dyDescent="0.45">
      <c r="B266" s="17"/>
    </row>
    <row r="267" spans="2:2" x14ac:dyDescent="0.45">
      <c r="B267" s="17"/>
    </row>
    <row r="268" spans="2:2" x14ac:dyDescent="0.45">
      <c r="B268" s="17"/>
    </row>
    <row r="269" spans="2:2" x14ac:dyDescent="0.45">
      <c r="B269" s="17"/>
    </row>
    <row r="270" spans="2:2" x14ac:dyDescent="0.45">
      <c r="B270" s="17"/>
    </row>
    <row r="271" spans="2:2" x14ac:dyDescent="0.45">
      <c r="B271" s="17"/>
    </row>
    <row r="272" spans="2:2" x14ac:dyDescent="0.45">
      <c r="B272" s="17"/>
    </row>
    <row r="273" spans="2:5" x14ac:dyDescent="0.45">
      <c r="B273" s="17"/>
    </row>
    <row r="274" spans="2:5" x14ac:dyDescent="0.45">
      <c r="B274" s="17"/>
    </row>
    <row r="275" spans="2:5" x14ac:dyDescent="0.45">
      <c r="B275" s="17"/>
    </row>
    <row r="276" spans="2:5" x14ac:dyDescent="0.45">
      <c r="B276" s="17"/>
    </row>
    <row r="277" spans="2:5" x14ac:dyDescent="0.45">
      <c r="B277" s="17"/>
    </row>
    <row r="278" spans="2:5" x14ac:dyDescent="0.45">
      <c r="B278" s="17"/>
    </row>
    <row r="279" spans="2:5" x14ac:dyDescent="0.45">
      <c r="B279" s="17"/>
    </row>
    <row r="280" spans="2:5" x14ac:dyDescent="0.45">
      <c r="B280" s="17"/>
    </row>
    <row r="281" spans="2:5" x14ac:dyDescent="0.45">
      <c r="B281" s="17"/>
    </row>
    <row r="282" spans="2:5" x14ac:dyDescent="0.45">
      <c r="B282" s="17"/>
    </row>
    <row r="283" spans="2:5" x14ac:dyDescent="0.45">
      <c r="B283" s="17"/>
    </row>
    <row r="284" spans="2:5" x14ac:dyDescent="0.45">
      <c r="B284" s="17"/>
    </row>
    <row r="285" spans="2:5" x14ac:dyDescent="0.45">
      <c r="B285" s="17"/>
      <c r="E285" s="17"/>
    </row>
    <row r="286" spans="2:5" x14ac:dyDescent="0.45">
      <c r="B286" s="17"/>
    </row>
    <row r="287" spans="2:5" x14ac:dyDescent="0.45">
      <c r="B287" s="17"/>
    </row>
    <row r="288" spans="2:5" x14ac:dyDescent="0.45">
      <c r="B288" s="17"/>
    </row>
    <row r="289" spans="2:2" x14ac:dyDescent="0.45">
      <c r="B289" s="17"/>
    </row>
    <row r="290" spans="2:2" x14ac:dyDescent="0.45">
      <c r="B290" s="17"/>
    </row>
    <row r="291" spans="2:2" x14ac:dyDescent="0.45">
      <c r="B291" s="17"/>
    </row>
    <row r="292" spans="2:2" x14ac:dyDescent="0.45">
      <c r="B292" s="17"/>
    </row>
    <row r="293" spans="2:2" x14ac:dyDescent="0.45">
      <c r="B293" s="17"/>
    </row>
    <row r="294" spans="2:2" x14ac:dyDescent="0.45">
      <c r="B294" s="17"/>
    </row>
    <row r="295" spans="2:2" x14ac:dyDescent="0.45">
      <c r="B295" s="17"/>
    </row>
    <row r="296" spans="2:2" x14ac:dyDescent="0.45">
      <c r="B296" s="17"/>
    </row>
    <row r="297" spans="2:2" x14ac:dyDescent="0.45">
      <c r="B297" s="17"/>
    </row>
    <row r="298" spans="2:2" x14ac:dyDescent="0.45">
      <c r="B298" s="17"/>
    </row>
    <row r="299" spans="2:2" x14ac:dyDescent="0.45">
      <c r="B299" s="17"/>
    </row>
    <row r="300" spans="2:2" x14ac:dyDescent="0.45">
      <c r="B300" s="17"/>
    </row>
    <row r="301" spans="2:2" x14ac:dyDescent="0.45">
      <c r="B301" s="17"/>
    </row>
    <row r="302" spans="2:2" x14ac:dyDescent="0.45">
      <c r="B302" s="17"/>
    </row>
    <row r="303" spans="2:2" x14ac:dyDescent="0.45">
      <c r="B303" s="17"/>
    </row>
    <row r="304" spans="2:2" x14ac:dyDescent="0.45">
      <c r="B304" s="17"/>
    </row>
    <row r="305" spans="2:5" x14ac:dyDescent="0.45">
      <c r="B305" s="17"/>
    </row>
    <row r="306" spans="2:5" x14ac:dyDescent="0.45">
      <c r="B306" s="17"/>
    </row>
    <row r="307" spans="2:5" x14ac:dyDescent="0.45">
      <c r="B307" s="17"/>
    </row>
    <row r="308" spans="2:5" x14ac:dyDescent="0.45">
      <c r="B308" s="17"/>
    </row>
    <row r="309" spans="2:5" x14ac:dyDescent="0.45">
      <c r="B309" s="17"/>
    </row>
    <row r="310" spans="2:5" x14ac:dyDescent="0.45">
      <c r="B310" s="17"/>
    </row>
    <row r="311" spans="2:5" x14ac:dyDescent="0.45">
      <c r="B311" s="17"/>
    </row>
    <row r="312" spans="2:5" x14ac:dyDescent="0.45">
      <c r="B312" s="17"/>
    </row>
    <row r="313" spans="2:5" x14ac:dyDescent="0.45">
      <c r="B313" s="17"/>
    </row>
    <row r="314" spans="2:5" x14ac:dyDescent="0.45">
      <c r="B314" s="17"/>
    </row>
    <row r="315" spans="2:5" x14ac:dyDescent="0.45">
      <c r="B315" s="17"/>
    </row>
    <row r="316" spans="2:5" x14ac:dyDescent="0.45">
      <c r="B316" s="17"/>
    </row>
    <row r="317" spans="2:5" x14ac:dyDescent="0.45">
      <c r="B317" s="17"/>
      <c r="E317" s="17"/>
    </row>
    <row r="318" spans="2:5" x14ac:dyDescent="0.45">
      <c r="B318" s="17"/>
      <c r="E318" s="17"/>
    </row>
    <row r="319" spans="2:5" x14ac:dyDescent="0.45">
      <c r="B319" s="17"/>
      <c r="E319" s="17"/>
    </row>
    <row r="320" spans="2:5" x14ac:dyDescent="0.45">
      <c r="B320" s="17"/>
      <c r="E320" s="17"/>
    </row>
    <row r="321" spans="2:5" x14ac:dyDescent="0.45">
      <c r="B321" s="17"/>
      <c r="E321" s="17"/>
    </row>
    <row r="322" spans="2:5" x14ac:dyDescent="0.45">
      <c r="B322" s="17"/>
      <c r="E322" s="17"/>
    </row>
    <row r="323" spans="2:5" x14ac:dyDescent="0.45">
      <c r="B323" s="17"/>
      <c r="E323" s="17"/>
    </row>
    <row r="324" spans="2:5" x14ac:dyDescent="0.45">
      <c r="B324" s="17"/>
      <c r="E324" s="17"/>
    </row>
    <row r="325" spans="2:5" x14ac:dyDescent="0.45">
      <c r="B325" s="17"/>
      <c r="E325" s="17"/>
    </row>
    <row r="326" spans="2:5" x14ac:dyDescent="0.45">
      <c r="B326" s="17"/>
      <c r="E326" s="17"/>
    </row>
    <row r="327" spans="2:5" x14ac:dyDescent="0.45">
      <c r="B327" s="17"/>
      <c r="E327" s="17"/>
    </row>
    <row r="328" spans="2:5" x14ac:dyDescent="0.45">
      <c r="B328" s="17"/>
      <c r="E328" s="17"/>
    </row>
    <row r="329" spans="2:5" x14ac:dyDescent="0.45">
      <c r="B329" s="17"/>
      <c r="E329" s="17"/>
    </row>
    <row r="330" spans="2:5" x14ac:dyDescent="0.45">
      <c r="B330" s="17"/>
      <c r="E330" s="17"/>
    </row>
    <row r="331" spans="2:5" x14ac:dyDescent="0.45">
      <c r="B331" s="17"/>
      <c r="E331" s="17"/>
    </row>
    <row r="332" spans="2:5" x14ac:dyDescent="0.45">
      <c r="B332" s="17"/>
      <c r="E332" s="17"/>
    </row>
    <row r="333" spans="2:5" x14ac:dyDescent="0.45">
      <c r="B333" s="17"/>
      <c r="E333" s="17"/>
    </row>
    <row r="334" spans="2:5" x14ac:dyDescent="0.45">
      <c r="B334" s="17"/>
      <c r="E334" s="17"/>
    </row>
    <row r="335" spans="2:5" x14ac:dyDescent="0.45">
      <c r="B335" s="17"/>
      <c r="E335" s="17"/>
    </row>
    <row r="336" spans="2:5" x14ac:dyDescent="0.45">
      <c r="B336" s="17"/>
      <c r="E336" s="17"/>
    </row>
    <row r="337" spans="2:5" x14ac:dyDescent="0.45">
      <c r="B337" s="17"/>
      <c r="E337" s="17"/>
    </row>
    <row r="338" spans="2:5" x14ac:dyDescent="0.45">
      <c r="B338" s="17"/>
      <c r="E338" s="17"/>
    </row>
    <row r="339" spans="2:5" x14ac:dyDescent="0.45">
      <c r="B339" s="17"/>
      <c r="E339" s="17"/>
    </row>
    <row r="340" spans="2:5" x14ac:dyDescent="0.45">
      <c r="B340" s="17"/>
      <c r="E340" s="17"/>
    </row>
    <row r="341" spans="2:5" x14ac:dyDescent="0.45">
      <c r="B341" s="17"/>
      <c r="E341" s="17"/>
    </row>
    <row r="342" spans="2:5" x14ac:dyDescent="0.45">
      <c r="B342" s="17"/>
      <c r="E342" s="17"/>
    </row>
    <row r="343" spans="2:5" x14ac:dyDescent="0.45">
      <c r="B343" s="17"/>
      <c r="E343" s="17"/>
    </row>
    <row r="344" spans="2:5" x14ac:dyDescent="0.45">
      <c r="B344" s="17"/>
      <c r="E344" s="17"/>
    </row>
    <row r="345" spans="2:5" x14ac:dyDescent="0.45">
      <c r="B345" s="17"/>
      <c r="E345" s="17"/>
    </row>
    <row r="346" spans="2:5" x14ac:dyDescent="0.45">
      <c r="B346" s="17"/>
      <c r="E346" s="17"/>
    </row>
    <row r="347" spans="2:5" x14ac:dyDescent="0.45">
      <c r="B347" s="17"/>
      <c r="E347" s="17"/>
    </row>
    <row r="348" spans="2:5" x14ac:dyDescent="0.45">
      <c r="B348" s="17"/>
      <c r="E348" s="17"/>
    </row>
    <row r="349" spans="2:5" x14ac:dyDescent="0.45">
      <c r="B349" s="17"/>
      <c r="E349" s="17"/>
    </row>
    <row r="350" spans="2:5" x14ac:dyDescent="0.45">
      <c r="B350" s="17"/>
      <c r="E350" s="17"/>
    </row>
    <row r="351" spans="2:5" x14ac:dyDescent="0.45">
      <c r="B351" s="17"/>
      <c r="E351" s="17"/>
    </row>
    <row r="352" spans="2:5" x14ac:dyDescent="0.45">
      <c r="B352" s="17"/>
      <c r="E352" s="17"/>
    </row>
    <row r="353" spans="2:5" x14ac:dyDescent="0.45">
      <c r="B353" s="17"/>
      <c r="E353" s="17"/>
    </row>
    <row r="354" spans="2:5" x14ac:dyDescent="0.45">
      <c r="B354" s="17"/>
      <c r="E354" s="17"/>
    </row>
    <row r="355" spans="2:5" x14ac:dyDescent="0.45">
      <c r="B355" s="17"/>
      <c r="E355" s="17"/>
    </row>
    <row r="356" spans="2:5" x14ac:dyDescent="0.45">
      <c r="B356" s="17"/>
      <c r="E356" s="17"/>
    </row>
    <row r="357" spans="2:5" x14ac:dyDescent="0.45">
      <c r="B357" s="17"/>
      <c r="E357" s="17"/>
    </row>
    <row r="358" spans="2:5" x14ac:dyDescent="0.45">
      <c r="B358" s="17"/>
      <c r="E358" s="17"/>
    </row>
    <row r="359" spans="2:5" x14ac:dyDescent="0.45">
      <c r="B359" s="17"/>
      <c r="E359" s="17"/>
    </row>
    <row r="360" spans="2:5" x14ac:dyDescent="0.45">
      <c r="B360" s="17"/>
      <c r="E360" s="17"/>
    </row>
    <row r="361" spans="2:5" x14ac:dyDescent="0.45">
      <c r="B361" s="17"/>
      <c r="E361" s="17"/>
    </row>
    <row r="362" spans="2:5" x14ac:dyDescent="0.45">
      <c r="B362" s="17"/>
      <c r="E362" s="17"/>
    </row>
    <row r="363" spans="2:5" x14ac:dyDescent="0.45">
      <c r="B363" s="17"/>
      <c r="E363" s="17"/>
    </row>
    <row r="364" spans="2:5" x14ac:dyDescent="0.45">
      <c r="B364" s="17"/>
      <c r="E364" s="17"/>
    </row>
    <row r="365" spans="2:5" x14ac:dyDescent="0.45">
      <c r="B365" s="17"/>
      <c r="E365" s="17"/>
    </row>
    <row r="366" spans="2:5" x14ac:dyDescent="0.45">
      <c r="B366" s="17"/>
      <c r="E366" s="17"/>
    </row>
    <row r="367" spans="2:5" x14ac:dyDescent="0.45">
      <c r="B367" s="17"/>
      <c r="E367" s="17"/>
    </row>
    <row r="368" spans="2:5" x14ac:dyDescent="0.45">
      <c r="B368" s="17"/>
      <c r="E368" s="17"/>
    </row>
    <row r="369" spans="2:5" x14ac:dyDescent="0.45">
      <c r="B369" s="17"/>
      <c r="E369" s="17"/>
    </row>
    <row r="370" spans="2:5" x14ac:dyDescent="0.45">
      <c r="B370" s="17"/>
      <c r="E370" s="17"/>
    </row>
    <row r="371" spans="2:5" x14ac:dyDescent="0.45">
      <c r="B371" s="17"/>
      <c r="E371" s="17"/>
    </row>
    <row r="372" spans="2:5" x14ac:dyDescent="0.45">
      <c r="B372" s="17"/>
      <c r="E372" s="17"/>
    </row>
    <row r="373" spans="2:5" x14ac:dyDescent="0.45">
      <c r="B373" s="17"/>
      <c r="E373" s="17"/>
    </row>
    <row r="374" spans="2:5" x14ac:dyDescent="0.45">
      <c r="B374" s="17"/>
      <c r="E374" s="17"/>
    </row>
    <row r="375" spans="2:5" x14ac:dyDescent="0.45">
      <c r="B375" s="17"/>
      <c r="E375" s="17"/>
    </row>
    <row r="376" spans="2:5" x14ac:dyDescent="0.45">
      <c r="B376" s="17"/>
      <c r="E376" s="17"/>
    </row>
    <row r="377" spans="2:5" x14ac:dyDescent="0.45">
      <c r="B377" s="17"/>
      <c r="E377" s="17"/>
    </row>
    <row r="378" spans="2:5" x14ac:dyDescent="0.45">
      <c r="B378" s="17"/>
      <c r="E378" s="17"/>
    </row>
    <row r="379" spans="2:5" x14ac:dyDescent="0.45">
      <c r="B379" s="17"/>
      <c r="E379" s="17"/>
    </row>
    <row r="380" spans="2:5" x14ac:dyDescent="0.45">
      <c r="B380" s="17"/>
      <c r="E380" s="17"/>
    </row>
    <row r="381" spans="2:5" x14ac:dyDescent="0.45">
      <c r="B381" s="17"/>
      <c r="E381" s="17"/>
    </row>
    <row r="382" spans="2:5" x14ac:dyDescent="0.45">
      <c r="B382" s="17"/>
      <c r="E382" s="17"/>
    </row>
    <row r="383" spans="2:5" x14ac:dyDescent="0.45">
      <c r="B383" s="17"/>
      <c r="E383" s="17"/>
    </row>
    <row r="384" spans="2:5" x14ac:dyDescent="0.45">
      <c r="B384" s="17"/>
      <c r="E384" s="17"/>
    </row>
    <row r="385" spans="2:5" x14ac:dyDescent="0.45">
      <c r="B385" s="17"/>
      <c r="E385" s="17"/>
    </row>
    <row r="386" spans="2:5" x14ac:dyDescent="0.45">
      <c r="B386" s="17"/>
      <c r="E386" s="17"/>
    </row>
    <row r="387" spans="2:5" x14ac:dyDescent="0.45">
      <c r="B387" s="17"/>
      <c r="E387" s="17"/>
    </row>
    <row r="388" spans="2:5" x14ac:dyDescent="0.45">
      <c r="B388" s="17"/>
      <c r="E388" s="17"/>
    </row>
    <row r="389" spans="2:5" x14ac:dyDescent="0.45">
      <c r="B389" s="17"/>
      <c r="E389" s="17"/>
    </row>
    <row r="390" spans="2:5" x14ac:dyDescent="0.45">
      <c r="B390" s="17"/>
      <c r="E390" s="17"/>
    </row>
    <row r="391" spans="2:5" x14ac:dyDescent="0.45">
      <c r="B391" s="17"/>
      <c r="E391" s="17"/>
    </row>
    <row r="392" spans="2:5" x14ac:dyDescent="0.45">
      <c r="B392" s="17"/>
      <c r="E392" s="17"/>
    </row>
    <row r="393" spans="2:5" x14ac:dyDescent="0.45">
      <c r="B393" s="17"/>
      <c r="E393" s="17"/>
    </row>
    <row r="394" spans="2:5" x14ac:dyDescent="0.45">
      <c r="B394" s="17"/>
      <c r="E394" s="17"/>
    </row>
    <row r="395" spans="2:5" x14ac:dyDescent="0.45">
      <c r="B395" s="17"/>
      <c r="E395" s="17"/>
    </row>
    <row r="396" spans="2:5" x14ac:dyDescent="0.45">
      <c r="B396" s="17"/>
      <c r="E396" s="17"/>
    </row>
    <row r="397" spans="2:5" x14ac:dyDescent="0.45">
      <c r="B397" s="17"/>
      <c r="E397" s="17"/>
    </row>
    <row r="398" spans="2:5" x14ac:dyDescent="0.45">
      <c r="B398" s="17"/>
      <c r="E398" s="17"/>
    </row>
    <row r="399" spans="2:5" x14ac:dyDescent="0.45">
      <c r="B399" s="17"/>
      <c r="E399" s="17"/>
    </row>
    <row r="400" spans="2:5" x14ac:dyDescent="0.45">
      <c r="B400" s="17"/>
      <c r="E400" s="17"/>
    </row>
    <row r="401" spans="2:5" x14ac:dyDescent="0.45">
      <c r="B401" s="17"/>
      <c r="E401" s="17"/>
    </row>
    <row r="402" spans="2:5" x14ac:dyDescent="0.45">
      <c r="B402" s="17"/>
      <c r="E402" s="17"/>
    </row>
    <row r="403" spans="2:5" x14ac:dyDescent="0.45">
      <c r="B403" s="17"/>
      <c r="E403" s="17"/>
    </row>
    <row r="404" spans="2:5" x14ac:dyDescent="0.45">
      <c r="B404" s="17"/>
      <c r="E404" s="17"/>
    </row>
    <row r="405" spans="2:5" x14ac:dyDescent="0.45">
      <c r="B405" s="17"/>
      <c r="E405" s="17"/>
    </row>
    <row r="406" spans="2:5" x14ac:dyDescent="0.45">
      <c r="B406" s="17"/>
      <c r="E406" s="17"/>
    </row>
    <row r="407" spans="2:5" x14ac:dyDescent="0.45">
      <c r="B407" s="17"/>
      <c r="E407" s="17"/>
    </row>
    <row r="408" spans="2:5" x14ac:dyDescent="0.45">
      <c r="B408" s="17"/>
      <c r="E408" s="17"/>
    </row>
    <row r="409" spans="2:5" x14ac:dyDescent="0.45">
      <c r="B409" s="17"/>
      <c r="E409" s="17"/>
    </row>
    <row r="410" spans="2:5" x14ac:dyDescent="0.45">
      <c r="B410" s="17"/>
      <c r="E410" s="17"/>
    </row>
    <row r="411" spans="2:5" x14ac:dyDescent="0.45">
      <c r="B411" s="17"/>
      <c r="E411" s="17"/>
    </row>
    <row r="412" spans="2:5" x14ac:dyDescent="0.45">
      <c r="B412" s="17"/>
      <c r="E412" s="17"/>
    </row>
    <row r="413" spans="2:5" x14ac:dyDescent="0.45">
      <c r="B413" s="17"/>
      <c r="E413" s="17"/>
    </row>
    <row r="414" spans="2:5" x14ac:dyDescent="0.45">
      <c r="B414" s="17"/>
      <c r="E414" s="17"/>
    </row>
    <row r="415" spans="2:5" x14ac:dyDescent="0.45">
      <c r="B415" s="17"/>
      <c r="E415" s="17"/>
    </row>
    <row r="416" spans="2:5" x14ac:dyDescent="0.45">
      <c r="B416" s="17"/>
      <c r="E416" s="17"/>
    </row>
    <row r="417" spans="2:5" x14ac:dyDescent="0.45">
      <c r="B417" s="17"/>
      <c r="E417" s="17"/>
    </row>
    <row r="418" spans="2:5" x14ac:dyDescent="0.45">
      <c r="B418" s="17"/>
      <c r="E418" s="17"/>
    </row>
    <row r="419" spans="2:5" x14ac:dyDescent="0.45">
      <c r="B419" s="17"/>
      <c r="E419" s="17"/>
    </row>
    <row r="420" spans="2:5" x14ac:dyDescent="0.45">
      <c r="B420" s="17"/>
      <c r="E420" s="17"/>
    </row>
    <row r="421" spans="2:5" x14ac:dyDescent="0.45">
      <c r="B421" s="17"/>
      <c r="E421" s="17"/>
    </row>
    <row r="422" spans="2:5" x14ac:dyDescent="0.45">
      <c r="B422" s="17"/>
      <c r="E422" s="17"/>
    </row>
    <row r="423" spans="2:5" x14ac:dyDescent="0.45">
      <c r="B423" s="17"/>
      <c r="E423" s="17"/>
    </row>
    <row r="424" spans="2:5" x14ac:dyDescent="0.45">
      <c r="B424" s="17"/>
      <c r="E424" s="17"/>
    </row>
    <row r="425" spans="2:5" x14ac:dyDescent="0.45">
      <c r="B425" s="17"/>
      <c r="E425" s="17"/>
    </row>
    <row r="426" spans="2:5" x14ac:dyDescent="0.45">
      <c r="B426" s="17"/>
      <c r="E426" s="17"/>
    </row>
    <row r="427" spans="2:5" x14ac:dyDescent="0.45">
      <c r="B427" s="17"/>
      <c r="E427" s="17"/>
    </row>
    <row r="428" spans="2:5" x14ac:dyDescent="0.45">
      <c r="B428" s="17"/>
      <c r="E428" s="17"/>
    </row>
    <row r="429" spans="2:5" x14ac:dyDescent="0.45">
      <c r="B429" s="17"/>
      <c r="E429" s="17"/>
    </row>
    <row r="430" spans="2:5" x14ac:dyDescent="0.45">
      <c r="B430" s="17"/>
      <c r="E430" s="17"/>
    </row>
    <row r="431" spans="2:5" x14ac:dyDescent="0.45">
      <c r="B431" s="17"/>
      <c r="E431" s="17"/>
    </row>
    <row r="432" spans="2:5" x14ac:dyDescent="0.45">
      <c r="B432" s="17"/>
      <c r="E432" s="17"/>
    </row>
    <row r="433" spans="2:5" x14ac:dyDescent="0.45">
      <c r="B433" s="17"/>
      <c r="E433" s="17"/>
    </row>
    <row r="434" spans="2:5" x14ac:dyDescent="0.45">
      <c r="B434" s="17"/>
      <c r="E434" s="17"/>
    </row>
    <row r="435" spans="2:5" x14ac:dyDescent="0.45">
      <c r="B435" s="17"/>
      <c r="E435" s="17"/>
    </row>
    <row r="436" spans="2:5" x14ac:dyDescent="0.45">
      <c r="B436" s="17"/>
      <c r="E436" s="17"/>
    </row>
    <row r="437" spans="2:5" x14ac:dyDescent="0.45">
      <c r="B437" s="17"/>
      <c r="E437" s="17"/>
    </row>
    <row r="438" spans="2:5" x14ac:dyDescent="0.45">
      <c r="B438" s="17"/>
      <c r="E438" s="17"/>
    </row>
    <row r="439" spans="2:5" x14ac:dyDescent="0.45">
      <c r="B439" s="17"/>
      <c r="E439" s="17"/>
    </row>
    <row r="440" spans="2:5" x14ac:dyDescent="0.45">
      <c r="B440" s="17"/>
      <c r="E440" s="17"/>
    </row>
    <row r="441" spans="2:5" x14ac:dyDescent="0.45">
      <c r="B441" s="17"/>
      <c r="E441" s="17"/>
    </row>
    <row r="442" spans="2:5" x14ac:dyDescent="0.45">
      <c r="B442" s="17"/>
      <c r="E442" s="17"/>
    </row>
    <row r="443" spans="2:5" x14ac:dyDescent="0.45">
      <c r="B443" s="17"/>
      <c r="E443" s="17"/>
    </row>
    <row r="444" spans="2:5" x14ac:dyDescent="0.45">
      <c r="B444" s="17"/>
      <c r="E444" s="17"/>
    </row>
    <row r="445" spans="2:5" x14ac:dyDescent="0.45">
      <c r="B445" s="17"/>
      <c r="E445" s="17"/>
    </row>
    <row r="446" spans="2:5" x14ac:dyDescent="0.45">
      <c r="B446" s="17"/>
      <c r="E446" s="17"/>
    </row>
    <row r="447" spans="2:5" x14ac:dyDescent="0.45">
      <c r="B447" s="17"/>
      <c r="E447" s="17"/>
    </row>
    <row r="448" spans="2:5" x14ac:dyDescent="0.45">
      <c r="B448" s="17"/>
      <c r="E448" s="17"/>
    </row>
    <row r="449" spans="2:5" x14ac:dyDescent="0.45">
      <c r="B449" s="17"/>
      <c r="E449" s="17"/>
    </row>
    <row r="450" spans="2:5" x14ac:dyDescent="0.45">
      <c r="B450" s="17"/>
      <c r="E450" s="17"/>
    </row>
    <row r="451" spans="2:5" x14ac:dyDescent="0.45">
      <c r="B451" s="17"/>
      <c r="E451" s="17"/>
    </row>
    <row r="452" spans="2:5" x14ac:dyDescent="0.45">
      <c r="B452" s="17"/>
      <c r="E452" s="17"/>
    </row>
    <row r="453" spans="2:5" x14ac:dyDescent="0.45">
      <c r="B453" s="17"/>
      <c r="E453" s="17"/>
    </row>
    <row r="454" spans="2:5" x14ac:dyDescent="0.45">
      <c r="B454" s="17"/>
      <c r="E454" s="17"/>
    </row>
    <row r="455" spans="2:5" x14ac:dyDescent="0.45">
      <c r="B455" s="17"/>
      <c r="E455" s="17"/>
    </row>
    <row r="456" spans="2:5" x14ac:dyDescent="0.45">
      <c r="B456" s="17"/>
      <c r="E456" s="17"/>
    </row>
    <row r="457" spans="2:5" x14ac:dyDescent="0.45">
      <c r="B457" s="17"/>
      <c r="E457" s="17"/>
    </row>
    <row r="458" spans="2:5" x14ac:dyDescent="0.45">
      <c r="B458" s="17"/>
      <c r="E458" s="17"/>
    </row>
    <row r="459" spans="2:5" x14ac:dyDescent="0.45">
      <c r="B459" s="17"/>
      <c r="E459" s="17"/>
    </row>
    <row r="460" spans="2:5" x14ac:dyDescent="0.45">
      <c r="B460" s="17"/>
      <c r="E460" s="17"/>
    </row>
    <row r="461" spans="2:5" x14ac:dyDescent="0.45">
      <c r="B461" s="17"/>
      <c r="E461" s="17"/>
    </row>
    <row r="462" spans="2:5" x14ac:dyDescent="0.45">
      <c r="B462" s="17"/>
      <c r="E462" s="17"/>
    </row>
    <row r="463" spans="2:5" x14ac:dyDescent="0.45">
      <c r="B463" s="17"/>
      <c r="E463" s="17"/>
    </row>
    <row r="464" spans="2:5" x14ac:dyDescent="0.45">
      <c r="B464" s="17"/>
      <c r="E464" s="17"/>
    </row>
    <row r="465" spans="2:5" x14ac:dyDescent="0.45">
      <c r="B465" s="17"/>
      <c r="E465" s="17"/>
    </row>
    <row r="466" spans="2:5" x14ac:dyDescent="0.45">
      <c r="B466" s="17"/>
      <c r="E466" s="17"/>
    </row>
    <row r="467" spans="2:5" x14ac:dyDescent="0.45">
      <c r="B467" s="17"/>
      <c r="E467" s="17"/>
    </row>
    <row r="468" spans="2:5" x14ac:dyDescent="0.45">
      <c r="B468" s="17"/>
      <c r="E468" s="17"/>
    </row>
    <row r="469" spans="2:5" x14ac:dyDescent="0.45">
      <c r="B469" s="17"/>
      <c r="E469" s="17"/>
    </row>
    <row r="470" spans="2:5" x14ac:dyDescent="0.45">
      <c r="B470" s="17"/>
      <c r="E470" s="17"/>
    </row>
    <row r="471" spans="2:5" x14ac:dyDescent="0.45">
      <c r="B471" s="17"/>
      <c r="E471" s="17"/>
    </row>
    <row r="472" spans="2:5" x14ac:dyDescent="0.45">
      <c r="B472" s="17"/>
      <c r="E472" s="17"/>
    </row>
    <row r="473" spans="2:5" x14ac:dyDescent="0.45">
      <c r="B473" s="17"/>
      <c r="E473" s="17"/>
    </row>
    <row r="474" spans="2:5" x14ac:dyDescent="0.45">
      <c r="B474" s="17"/>
      <c r="E474" s="17"/>
    </row>
    <row r="475" spans="2:5" x14ac:dyDescent="0.45">
      <c r="B475" s="17"/>
      <c r="E475" s="17"/>
    </row>
    <row r="476" spans="2:5" x14ac:dyDescent="0.45">
      <c r="B476" s="17"/>
      <c r="E476" s="17"/>
    </row>
    <row r="477" spans="2:5" x14ac:dyDescent="0.45">
      <c r="B477" s="17"/>
      <c r="E477" s="17"/>
    </row>
    <row r="478" spans="2:5" x14ac:dyDescent="0.45">
      <c r="B478" s="17"/>
      <c r="E478" s="17"/>
    </row>
    <row r="479" spans="2:5" x14ac:dyDescent="0.45">
      <c r="B479" s="17"/>
      <c r="E479" s="17"/>
    </row>
    <row r="480" spans="2:5" x14ac:dyDescent="0.45">
      <c r="B480" s="17"/>
      <c r="E480" s="17"/>
    </row>
    <row r="481" spans="2:5" x14ac:dyDescent="0.45">
      <c r="B481" s="17"/>
      <c r="E481" s="17"/>
    </row>
    <row r="482" spans="2:5" x14ac:dyDescent="0.45">
      <c r="B482" s="17"/>
      <c r="E482" s="17"/>
    </row>
    <row r="483" spans="2:5" x14ac:dyDescent="0.45">
      <c r="B483" s="17"/>
      <c r="E483" s="17"/>
    </row>
    <row r="484" spans="2:5" x14ac:dyDescent="0.45">
      <c r="B484" s="17"/>
      <c r="E484" s="17"/>
    </row>
    <row r="485" spans="2:5" x14ac:dyDescent="0.45">
      <c r="B485" s="17"/>
      <c r="E485" s="17"/>
    </row>
    <row r="486" spans="2:5" x14ac:dyDescent="0.45">
      <c r="B486" s="17"/>
      <c r="E486" s="17"/>
    </row>
    <row r="487" spans="2:5" x14ac:dyDescent="0.45">
      <c r="B487" s="17"/>
      <c r="E487" s="17"/>
    </row>
    <row r="488" spans="2:5" x14ac:dyDescent="0.45">
      <c r="B488" s="17"/>
      <c r="E488" s="17"/>
    </row>
    <row r="489" spans="2:5" x14ac:dyDescent="0.45">
      <c r="B489" s="17"/>
      <c r="E489" s="17"/>
    </row>
    <row r="490" spans="2:5" x14ac:dyDescent="0.45">
      <c r="B490" s="17"/>
      <c r="E490" s="17"/>
    </row>
    <row r="491" spans="2:5" x14ac:dyDescent="0.45">
      <c r="B491" s="17"/>
      <c r="E491" s="17"/>
    </row>
    <row r="492" spans="2:5" x14ac:dyDescent="0.45">
      <c r="B492" s="17"/>
      <c r="E492" s="17"/>
    </row>
    <row r="493" spans="2:5" x14ac:dyDescent="0.45">
      <c r="B493" s="17"/>
      <c r="E493" s="17"/>
    </row>
    <row r="494" spans="2:5" x14ac:dyDescent="0.45">
      <c r="B494" s="17"/>
      <c r="E494" s="17"/>
    </row>
    <row r="495" spans="2:5" x14ac:dyDescent="0.45">
      <c r="B495" s="17"/>
      <c r="E495" s="17"/>
    </row>
    <row r="496" spans="2:5" x14ac:dyDescent="0.45">
      <c r="B496" s="17"/>
      <c r="E496" s="17"/>
    </row>
    <row r="497" spans="2:5" x14ac:dyDescent="0.45">
      <c r="B497" s="17"/>
      <c r="E497" s="17"/>
    </row>
    <row r="498" spans="2:5" x14ac:dyDescent="0.45">
      <c r="B498" s="17"/>
      <c r="E498" s="17"/>
    </row>
    <row r="499" spans="2:5" x14ac:dyDescent="0.45">
      <c r="B499" s="17"/>
      <c r="E499" s="17"/>
    </row>
    <row r="500" spans="2:5" x14ac:dyDescent="0.45">
      <c r="B500" s="17"/>
      <c r="E500" s="17"/>
    </row>
    <row r="501" spans="2:5" x14ac:dyDescent="0.45">
      <c r="B501" s="17"/>
      <c r="E501" s="17"/>
    </row>
    <row r="502" spans="2:5" x14ac:dyDescent="0.45">
      <c r="B502" s="17"/>
      <c r="E502" s="17"/>
    </row>
    <row r="503" spans="2:5" x14ac:dyDescent="0.45">
      <c r="B503" s="17"/>
      <c r="E503" s="17"/>
    </row>
    <row r="504" spans="2:5" x14ac:dyDescent="0.45">
      <c r="B504" s="17"/>
      <c r="E504" s="17"/>
    </row>
    <row r="505" spans="2:5" x14ac:dyDescent="0.45">
      <c r="B505" s="17"/>
      <c r="E505" s="17"/>
    </row>
    <row r="506" spans="2:5" x14ac:dyDescent="0.45">
      <c r="B506" s="17"/>
      <c r="E506" s="17"/>
    </row>
    <row r="507" spans="2:5" x14ac:dyDescent="0.45">
      <c r="B507" s="17"/>
      <c r="E507" s="17"/>
    </row>
    <row r="508" spans="2:5" x14ac:dyDescent="0.45">
      <c r="B508" s="17"/>
      <c r="E508" s="17"/>
    </row>
    <row r="509" spans="2:5" x14ac:dyDescent="0.45">
      <c r="B509" s="17"/>
      <c r="E509" s="17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4"/>
  <sheetViews>
    <sheetView workbookViewId="0">
      <selection activeCell="F24" sqref="F24"/>
    </sheetView>
  </sheetViews>
  <sheetFormatPr baseColWidth="10" defaultRowHeight="14.25" x14ac:dyDescent="0.45"/>
  <sheetData>
    <row r="2" spans="2:22" x14ac:dyDescent="0.45"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103</v>
      </c>
    </row>
    <row r="3" spans="2:22" x14ac:dyDescent="0.45">
      <c r="B3" s="22">
        <v>43672</v>
      </c>
      <c r="C3" t="s">
        <v>87</v>
      </c>
      <c r="D3" s="23" t="s">
        <v>90</v>
      </c>
      <c r="E3" t="s">
        <v>88</v>
      </c>
      <c r="F3" t="s">
        <v>88</v>
      </c>
      <c r="G3" t="s">
        <v>104</v>
      </c>
      <c r="H3" t="s">
        <v>105</v>
      </c>
    </row>
    <row r="5" spans="2:22" x14ac:dyDescent="0.45">
      <c r="B5" s="22">
        <v>43816</v>
      </c>
      <c r="C5" s="23" t="s">
        <v>90</v>
      </c>
      <c r="D5" t="s">
        <v>134</v>
      </c>
      <c r="E5" t="s">
        <v>88</v>
      </c>
      <c r="F5" t="s">
        <v>135</v>
      </c>
      <c r="G5" t="s">
        <v>104</v>
      </c>
      <c r="H5" t="s">
        <v>157</v>
      </c>
    </row>
    <row r="7" spans="2:22" x14ac:dyDescent="0.45">
      <c r="B7" s="22">
        <v>43782</v>
      </c>
      <c r="C7" t="s">
        <v>134</v>
      </c>
      <c r="D7" t="s">
        <v>134</v>
      </c>
      <c r="E7" t="s">
        <v>135</v>
      </c>
      <c r="F7" t="s">
        <v>135</v>
      </c>
      <c r="G7" t="s">
        <v>193</v>
      </c>
      <c r="H7" t="s">
        <v>194</v>
      </c>
    </row>
    <row r="9" spans="2:22" x14ac:dyDescent="0.45">
      <c r="B9" s="22">
        <v>43983</v>
      </c>
      <c r="C9" t="s">
        <v>134</v>
      </c>
      <c r="D9" t="s">
        <v>134</v>
      </c>
      <c r="E9" t="s">
        <v>135</v>
      </c>
      <c r="F9" t="s">
        <v>135</v>
      </c>
      <c r="G9" t="s">
        <v>104</v>
      </c>
      <c r="H9" t="s">
        <v>203</v>
      </c>
    </row>
    <row r="11" spans="2:22" x14ac:dyDescent="0.45">
      <c r="B11" s="22">
        <v>44039</v>
      </c>
      <c r="C11" t="s">
        <v>134</v>
      </c>
      <c r="D11" t="s">
        <v>134</v>
      </c>
      <c r="E11" t="s">
        <v>135</v>
      </c>
      <c r="F11" t="s">
        <v>135</v>
      </c>
      <c r="G11" t="s">
        <v>193</v>
      </c>
      <c r="H11" t="s">
        <v>253</v>
      </c>
    </row>
    <row r="13" spans="2:22" x14ac:dyDescent="0.45">
      <c r="H13" s="2" t="s">
        <v>254</v>
      </c>
      <c r="I13" s="2" t="s">
        <v>207</v>
      </c>
      <c r="J13" s="2" t="s">
        <v>208</v>
      </c>
      <c r="K13" s="2" t="s">
        <v>209</v>
      </c>
      <c r="L13" s="2" t="s">
        <v>52</v>
      </c>
      <c r="M13" s="2" t="s">
        <v>210</v>
      </c>
      <c r="N13" s="2" t="s">
        <v>53</v>
      </c>
      <c r="O13" s="2" t="s">
        <v>211</v>
      </c>
      <c r="P13" s="2" t="s">
        <v>212</v>
      </c>
      <c r="Q13" s="2" t="s">
        <v>59</v>
      </c>
      <c r="R13" s="2" t="s">
        <v>213</v>
      </c>
      <c r="S13" s="2" t="s">
        <v>214</v>
      </c>
      <c r="T13" s="2" t="s">
        <v>215</v>
      </c>
      <c r="V13" s="2" t="s">
        <v>216</v>
      </c>
    </row>
    <row r="14" spans="2:22" x14ac:dyDescent="0.45">
      <c r="H14">
        <v>1</v>
      </c>
      <c r="I14" t="s">
        <v>217</v>
      </c>
      <c r="J14" t="s">
        <v>218</v>
      </c>
      <c r="K14">
        <v>64.2</v>
      </c>
      <c r="L14" t="s">
        <v>219</v>
      </c>
      <c r="M14">
        <v>231.12</v>
      </c>
      <c r="N14" t="s">
        <v>220</v>
      </c>
      <c r="O14">
        <v>1.6000000000000001E-4</v>
      </c>
      <c r="P14" t="s">
        <v>221</v>
      </c>
      <c r="Q14" t="s">
        <v>222</v>
      </c>
      <c r="V14">
        <f>M14/O14</f>
        <v>1444500</v>
      </c>
    </row>
    <row r="15" spans="2:22" x14ac:dyDescent="0.45">
      <c r="J15" t="s">
        <v>223</v>
      </c>
      <c r="K15">
        <v>2990</v>
      </c>
      <c r="L15" t="s">
        <v>224</v>
      </c>
      <c r="N15" t="s">
        <v>220</v>
      </c>
      <c r="O15">
        <v>1.6000000000000001E-4</v>
      </c>
      <c r="P15" t="s">
        <v>221</v>
      </c>
      <c r="Q15" t="s">
        <v>222</v>
      </c>
      <c r="V15">
        <f>K15/O15</f>
        <v>18687500</v>
      </c>
    </row>
    <row r="16" spans="2:22" x14ac:dyDescent="0.45">
      <c r="H16">
        <v>5</v>
      </c>
      <c r="I16" t="s">
        <v>225</v>
      </c>
      <c r="J16" t="s">
        <v>226</v>
      </c>
      <c r="K16" s="25">
        <v>1820000</v>
      </c>
      <c r="L16" t="s">
        <v>224</v>
      </c>
      <c r="M16" s="25">
        <v>1820000</v>
      </c>
      <c r="N16" t="s">
        <v>227</v>
      </c>
      <c r="O16">
        <v>3.0000000000000001E-3</v>
      </c>
      <c r="P16" t="s">
        <v>221</v>
      </c>
      <c r="Q16" t="s">
        <v>228</v>
      </c>
      <c r="V16" s="25">
        <f>M16/O16</f>
        <v>606666666.66666663</v>
      </c>
    </row>
    <row r="17" spans="8:22" x14ac:dyDescent="0.45">
      <c r="H17">
        <v>10</v>
      </c>
      <c r="I17" t="s">
        <v>229</v>
      </c>
      <c r="J17" t="s">
        <v>218</v>
      </c>
      <c r="K17" s="25">
        <v>3020000</v>
      </c>
      <c r="L17" t="s">
        <v>219</v>
      </c>
      <c r="M17">
        <v>10872000</v>
      </c>
      <c r="N17" t="s">
        <v>230</v>
      </c>
      <c r="O17">
        <v>0.4</v>
      </c>
      <c r="P17" t="s">
        <v>221</v>
      </c>
      <c r="Q17" t="s">
        <v>231</v>
      </c>
      <c r="V17">
        <f>M17/O17</f>
        <v>27180000</v>
      </c>
    </row>
    <row r="18" spans="8:22" x14ac:dyDescent="0.45">
      <c r="H18">
        <v>11</v>
      </c>
      <c r="I18" t="s">
        <v>232</v>
      </c>
      <c r="J18" t="s">
        <v>218</v>
      </c>
      <c r="K18" s="25">
        <v>236000</v>
      </c>
      <c r="L18" t="s">
        <v>219</v>
      </c>
      <c r="M18">
        <v>849600</v>
      </c>
      <c r="N18" t="s">
        <v>233</v>
      </c>
      <c r="O18">
        <v>0.1</v>
      </c>
      <c r="P18" t="s">
        <v>221</v>
      </c>
      <c r="Q18" t="s">
        <v>234</v>
      </c>
      <c r="V18">
        <f>M18/O18</f>
        <v>8496000</v>
      </c>
    </row>
    <row r="19" spans="8:22" x14ac:dyDescent="0.45">
      <c r="H19">
        <v>15</v>
      </c>
      <c r="I19" t="s">
        <v>235</v>
      </c>
      <c r="J19" t="s">
        <v>218</v>
      </c>
      <c r="K19" s="25">
        <v>5250000</v>
      </c>
      <c r="L19" t="s">
        <v>219</v>
      </c>
      <c r="M19">
        <v>18900000</v>
      </c>
      <c r="N19" t="s">
        <v>236</v>
      </c>
      <c r="O19">
        <v>0.5</v>
      </c>
      <c r="P19" t="s">
        <v>221</v>
      </c>
      <c r="Q19" t="s">
        <v>237</v>
      </c>
      <c r="V19">
        <f>M19/O19</f>
        <v>37800000</v>
      </c>
    </row>
    <row r="20" spans="8:22" x14ac:dyDescent="0.45">
      <c r="H20">
        <v>17</v>
      </c>
      <c r="I20" t="s">
        <v>238</v>
      </c>
      <c r="J20" t="s">
        <v>218</v>
      </c>
      <c r="K20" s="25">
        <v>750000</v>
      </c>
      <c r="L20" t="s">
        <v>219</v>
      </c>
      <c r="M20" s="25">
        <v>2700000</v>
      </c>
      <c r="N20" t="s">
        <v>239</v>
      </c>
      <c r="O20">
        <v>1</v>
      </c>
      <c r="V20" s="25">
        <f>M20/O20</f>
        <v>2700000</v>
      </c>
    </row>
    <row r="23" spans="8:22" x14ac:dyDescent="0.45">
      <c r="H23" t="s">
        <v>255</v>
      </c>
      <c r="I23" t="s">
        <v>240</v>
      </c>
      <c r="J23" t="s">
        <v>241</v>
      </c>
      <c r="K23">
        <v>346.39</v>
      </c>
      <c r="L23" t="s">
        <v>219</v>
      </c>
      <c r="M23">
        <v>1247.0039999999999</v>
      </c>
      <c r="N23" t="s">
        <v>242</v>
      </c>
      <c r="O23" s="25">
        <v>2.6999999999999999E-5</v>
      </c>
      <c r="V23" s="25">
        <f>M23/O23</f>
        <v>46185333.333333328</v>
      </c>
    </row>
    <row r="24" spans="8:22" x14ac:dyDescent="0.45">
      <c r="H24" t="s">
        <v>256</v>
      </c>
      <c r="I24" t="s">
        <v>243</v>
      </c>
      <c r="J24" t="s">
        <v>244</v>
      </c>
      <c r="K24" s="25">
        <v>370000</v>
      </c>
      <c r="L24" t="s">
        <v>219</v>
      </c>
      <c r="M24" s="25">
        <v>1332000</v>
      </c>
      <c r="N24" t="s">
        <v>245</v>
      </c>
      <c r="O24">
        <v>3.2000000000000002E-3</v>
      </c>
      <c r="V24" s="25">
        <f>M24/O24</f>
        <v>416250000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8"/>
  <sheetViews>
    <sheetView zoomScale="85" zoomScaleNormal="85" workbookViewId="0">
      <selection activeCell="C9" sqref="C9"/>
    </sheetView>
  </sheetViews>
  <sheetFormatPr baseColWidth="10" defaultRowHeight="14.25" x14ac:dyDescent="0.45"/>
  <cols>
    <col min="2" max="2" width="29.46484375" bestFit="1" customWidth="1"/>
    <col min="5" max="5" width="17.9296875" customWidth="1"/>
    <col min="7" max="7" width="11.6640625" bestFit="1" customWidth="1"/>
  </cols>
  <sheetData>
    <row r="2" spans="2:16" x14ac:dyDescent="0.45">
      <c r="B2" s="2" t="s">
        <v>106</v>
      </c>
      <c r="C2" s="2" t="s">
        <v>107</v>
      </c>
      <c r="D2" s="2" t="s">
        <v>108</v>
      </c>
      <c r="E2" s="24" t="s">
        <v>122</v>
      </c>
      <c r="F2" s="24" t="s">
        <v>125</v>
      </c>
      <c r="G2" s="2" t="s">
        <v>109</v>
      </c>
      <c r="H2" s="2" t="s">
        <v>110</v>
      </c>
      <c r="I2" s="2" t="s">
        <v>111</v>
      </c>
      <c r="J2" s="2" t="s">
        <v>112</v>
      </c>
      <c r="K2" s="2" t="s">
        <v>113</v>
      </c>
      <c r="L2" s="2" t="s">
        <v>114</v>
      </c>
      <c r="M2" s="2" t="s">
        <v>115</v>
      </c>
      <c r="N2" s="2" t="s">
        <v>116</v>
      </c>
      <c r="O2" s="2" t="s">
        <v>117</v>
      </c>
      <c r="P2" s="2" t="s">
        <v>118</v>
      </c>
    </row>
    <row r="3" spans="2:16" x14ac:dyDescent="0.45">
      <c r="B3" t="s">
        <v>83</v>
      </c>
      <c r="C3">
        <v>1</v>
      </c>
      <c r="E3" t="s">
        <v>119</v>
      </c>
      <c r="G3" t="s">
        <v>124</v>
      </c>
      <c r="I3">
        <v>2015</v>
      </c>
      <c r="L3" t="s">
        <v>123</v>
      </c>
    </row>
    <row r="4" spans="2:16" x14ac:dyDescent="0.45">
      <c r="B4" t="s">
        <v>83</v>
      </c>
      <c r="C4">
        <v>2</v>
      </c>
      <c r="E4" s="17" t="s">
        <v>126</v>
      </c>
    </row>
    <row r="5" spans="2:16" x14ac:dyDescent="0.45">
      <c r="B5" t="s">
        <v>83</v>
      </c>
      <c r="C5">
        <v>3</v>
      </c>
      <c r="E5" t="s">
        <v>127</v>
      </c>
      <c r="G5" t="s">
        <v>128</v>
      </c>
      <c r="M5" t="s">
        <v>128</v>
      </c>
    </row>
    <row r="6" spans="2:16" x14ac:dyDescent="0.45">
      <c r="B6" t="s">
        <v>83</v>
      </c>
      <c r="C6">
        <v>4</v>
      </c>
      <c r="G6" t="s">
        <v>246</v>
      </c>
      <c r="H6" t="s">
        <v>247</v>
      </c>
      <c r="L6" t="s">
        <v>248</v>
      </c>
      <c r="P6" t="s">
        <v>249</v>
      </c>
    </row>
    <row r="7" spans="2:16" x14ac:dyDescent="0.45">
      <c r="B7" t="s">
        <v>83</v>
      </c>
      <c r="C7">
        <v>5</v>
      </c>
      <c r="F7" t="s">
        <v>250</v>
      </c>
      <c r="G7" t="s">
        <v>251</v>
      </c>
      <c r="H7" t="s">
        <v>252</v>
      </c>
      <c r="L7" s="26"/>
    </row>
    <row r="8" spans="2:16" x14ac:dyDescent="0.45">
      <c r="B8" t="s">
        <v>83</v>
      </c>
      <c r="C8">
        <v>6</v>
      </c>
      <c r="G8" t="s">
        <v>204</v>
      </c>
      <c r="H8" t="s">
        <v>205</v>
      </c>
      <c r="L8" t="s">
        <v>206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2022-12-12T14:42:13Z</dcterms:modified>
</cp:coreProperties>
</file>